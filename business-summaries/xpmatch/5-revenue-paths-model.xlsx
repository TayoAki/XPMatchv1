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rivers" sheetId="2" state="visible" r:id="rId4"/>
    <sheet name="Portfolio" sheetId="3" state="visible" r:id="rId5"/>
    <sheet name="P1 DMO" sheetId="4" state="visible" r:id="rId6"/>
    <sheet name="P2 RevShare" sheetId="5" state="visible" r:id="rId7"/>
    <sheet name="P3 Bookings" sheetId="6" state="visible" r:id="rId8"/>
    <sheet name="P4 Group" sheetId="7" state="visible" r:id="rId9"/>
    <sheet name="P5 Data" sheetId="8" state="visible" r:id="rId10"/>
    <sheet name="P6 Creator" sheetId="9" state="visible" r:id="rId11"/>
    <sheet name="P7 Membershi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<sst xmlns="http://schemas.openxmlformats.org/spreadsheetml/2006/main" count="317" uniqueCount="198">
  <si>
    <t xml:space="preserve">XPMatch — Seven Revenue Paths: Financial Model</t>
  </si>
  <si>
    <t xml:space="preserve">Companion to 4-revenue-path-validation.md · Built Sep 22, 2026</t>
  </si>
  <si>
    <t xml:space="preserve">HOW TO USE THIS</t>
  </si>
  <si>
    <t xml:space="preserve">1. Drivers tab — set the SCENARIO cell to 1 (Conservative), 2 (Base) or 3 (Aggressive).</t>
  </si>
  <si>
    <t xml:space="preserve">   Every path tab and the Portfolio recompute instantly.</t>
  </si>
  <si>
    <t xml:space="preserve">2. Or edit any blue driver directly to model your own case.</t>
  </si>
  <si>
    <t xml:space="preserve">3. Portfolio tab — switch paths ON (1) or OFF (0) and read the adjusted total.</t>
  </si>
  <si>
    <t xml:space="preserve">4. Portfolio also checks whether you can actually STAFF the paths you switched on.</t>
  </si>
  <si>
    <t xml:space="preserve">WHY THE PORTFOLIO TOTAL IS LOWER THAN THE SUM</t>
  </si>
  <si>
    <t xml:space="preserve">Paths 2 and 3 monetise the SAME trips. Paths 1 and 5 sell into the SAME DMO budget line.</t>
  </si>
  <si>
    <t xml:space="preserve">Adding all seven counts one unit of demand two or three times. The Portfolio tab removes that.</t>
  </si>
  <si>
    <t xml:space="preserve">WHAT THE RESEARCH CHANGED (see 4-revenue-path-validation for sources)</t>
  </si>
  <si>
    <t xml:space="preserve">P3  blended commission is 5.0-6.5%, not 8%. Stays pay 4-6% and are most of the basket.</t>
  </si>
  <si>
    <t xml:space="preserve">P6  the industry fee is 10-25% OF CAMPAIGN BUDGET. A $15k campaign nets about $3k, not $15k.</t>
  </si>
  <si>
    <t xml:space="preserve">P7  verified category cap is about $50/year. Wanderlog Pro is $39.99/yr. $180/yr is 3.6x that.</t>
  </si>
  <si>
    <t xml:space="preserve">P4  Pilot, the cited comparable, is free and charges no planning fee. The retreat market does pay.</t>
  </si>
  <si>
    <t xml:space="preserve">COLOUR LEGEND</t>
  </si>
  <si>
    <t xml:space="preserve">Blue = an input you may edit</t>
  </si>
  <si>
    <t xml:space="preserve">Black = a formula, do not overwrite</t>
  </si>
  <si>
    <t xml:space="preserve">Green = a link to another sheet</t>
  </si>
  <si>
    <t xml:space="preserve">Yellow = scenario switch or portfolio toggle</t>
  </si>
  <si>
    <t xml:space="preserve">Every figure in this workbook is a projection under stated assumptions. XPMatch has zero revenue today.</t>
  </si>
  <si>
    <t xml:space="preserve">Revenue Path Drivers — all seven paths</t>
  </si>
  <si>
    <t xml:space="preserve">Blue = edit me.  Yellow = the scenario switch.  ACTIVE column feeds every path tab.</t>
  </si>
  <si>
    <t xml:space="preserve">SCENARIO  (1 = Conservative, 2 = Base, 3 = Aggressive)</t>
  </si>
  <si>
    <t xml:space="preserve">Driver</t>
  </si>
  <si>
    <t xml:space="preserve">Conservative</t>
  </si>
  <si>
    <t xml:space="preserve">Base</t>
  </si>
  <si>
    <t xml:space="preserve">Aggressive</t>
  </si>
  <si>
    <t xml:space="preserve">ACTIVE</t>
  </si>
  <si>
    <t xml:space="preserve">Unit</t>
  </si>
  <si>
    <t xml:space="preserve">Note</t>
  </si>
  <si>
    <t xml:space="preserve">P1 · White-label DMO</t>
  </si>
  <si>
    <t xml:space="preserve">Clients at end of Y1</t>
  </si>
  <si>
    <t xml:space="preserve">clients</t>
  </si>
  <si>
    <t xml:space="preserve">Clients at end of Y2</t>
  </si>
  <si>
    <t xml:space="preserve">Clients at end of Y3</t>
  </si>
  <si>
    <t xml:space="preserve">Your claim was 20 by Y3</t>
  </si>
  <si>
    <t xml:space="preserve">Price per client / month</t>
  </si>
  <si>
    <t xml:space="preserve">$/mo</t>
  </si>
  <si>
    <t xml:space="preserve">Your claim was $5,000</t>
  </si>
  <si>
    <t xml:space="preserve">Support + infra per client / month</t>
  </si>
  <si>
    <t xml:space="preserve">White-label build (one-time, Y1)</t>
  </si>
  <si>
    <t xml:space="preserve">$</t>
  </si>
  <si>
    <t xml:space="preserve">6-10 weeks eng; not in codebase</t>
  </si>
  <si>
    <t xml:space="preserve">Hours per client / year</t>
  </si>
  <si>
    <t xml:space="preserve">hrs</t>
  </si>
  <si>
    <t xml:space="preserve">Success + support</t>
  </si>
  <si>
    <t xml:space="preserve">Fixed sales hours / year</t>
  </si>
  <si>
    <t xml:space="preserve">6-18 month procurement cycles</t>
  </si>
  <si>
    <t xml:space="preserve">P2 · Revenue share</t>
  </si>
  <si>
    <t xml:space="preserve">Partners live in Y1</t>
  </si>
  <si>
    <t xml:space="preserve">partners</t>
  </si>
  <si>
    <t xml:space="preserve">Partners live in Y2</t>
  </si>
  <si>
    <t xml:space="preserve">Partners live in Y3</t>
  </si>
  <si>
    <t xml:space="preserve">Attributed GMV per partner / year</t>
  </si>
  <si>
    <t xml:space="preserve">Your claim was $10M total</t>
  </si>
  <si>
    <t xml:space="preserve">Incrementality accepted</t>
  </si>
  <si>
    <t xml:space="preserve">%</t>
  </si>
  <si>
    <t xml:space="preserve">Holdout tests cut this hard</t>
  </si>
  <si>
    <t xml:space="preserve">Take rate on incremental</t>
  </si>
  <si>
    <t xml:space="preserve">Attribution infrastructure / year</t>
  </si>
  <si>
    <t xml:space="preserve">Hours per partner / year</t>
  </si>
  <si>
    <t xml:space="preserve">P3 · Booking commissions</t>
  </si>
  <si>
    <t xml:space="preserve">Trips planned Y1</t>
  </si>
  <si>
    <t xml:space="preserve">trips</t>
  </si>
  <si>
    <t xml:space="preserve">From 2-financial-model.xlsx</t>
  </si>
  <si>
    <t xml:space="preserve">Trips planned Y2</t>
  </si>
  <si>
    <t xml:space="preserve">Trips planned Y3</t>
  </si>
  <si>
    <t xml:space="preserve">Booking attach rate</t>
  </si>
  <si>
    <t xml:space="preserve">Share of planned trips that book</t>
  </si>
  <si>
    <t xml:space="preserve">Average basket (stay + 2 activities)</t>
  </si>
  <si>
    <t xml:space="preserve">$700 stay + $240 activities</t>
  </si>
  <si>
    <t xml:space="preserve">Blended commission rate</t>
  </si>
  <si>
    <t xml:space="preserve">VERIFIED 5.0-6.5%. Your claim: 8%</t>
  </si>
  <si>
    <t xml:space="preserve">Integration build (one-time, Y1)</t>
  </si>
  <si>
    <t xml:space="preserve">Fixed hours / year</t>
  </si>
  <si>
    <t xml:space="preserve">P4 · Group / corporate</t>
  </si>
  <si>
    <t xml:space="preserve">Group trips Y1</t>
  </si>
  <si>
    <t xml:space="preserve">Group trips Y2</t>
  </si>
  <si>
    <t xml:space="preserve">Group trips Y3</t>
  </si>
  <si>
    <t xml:space="preserve">Your claim was 100</t>
  </si>
  <si>
    <t xml:space="preserve">Net planning fee per trip</t>
  </si>
  <si>
    <t xml:space="preserve">Your claim was $7,500</t>
  </si>
  <si>
    <t xml:space="preserve">Delivery cost per trip</t>
  </si>
  <si>
    <t xml:space="preserve">Contractor planner time</t>
  </si>
  <si>
    <t xml:space="preserve">Sales cost as % of revenue</t>
  </si>
  <si>
    <t xml:space="preserve">Delivery hours per trip</t>
  </si>
  <si>
    <t xml:space="preserve">THE constraint on this path</t>
  </si>
  <si>
    <t xml:space="preserve">P5 · Data / analytics SaaS</t>
  </si>
  <si>
    <t xml:space="preserve">Clients Y1</t>
  </si>
  <si>
    <t xml:space="preserve">Needs a data panel first</t>
  </si>
  <si>
    <t xml:space="preserve">Clients Y2</t>
  </si>
  <si>
    <t xml:space="preserve">Clients Y3</t>
  </si>
  <si>
    <t xml:space="preserve">Your claim was 50</t>
  </si>
  <si>
    <t xml:space="preserve">Your claim was $2,000</t>
  </si>
  <si>
    <t xml:space="preserve">Data pipeline cost / year (from Y2)</t>
  </si>
  <si>
    <t xml:space="preserve">P6 · Creator campaigns</t>
  </si>
  <si>
    <t xml:space="preserve">Campaigns Y1</t>
  </si>
  <si>
    <t xml:space="preserve">campaigns</t>
  </si>
  <si>
    <t xml:space="preserve">Campaigns Y2</t>
  </si>
  <si>
    <t xml:space="preserve">Campaigns Y3</t>
  </si>
  <si>
    <t xml:space="preserve">Your claim was 40</t>
  </si>
  <si>
    <t xml:space="preserve">NET FEE to XPMatch per campaign</t>
  </si>
  <si>
    <t xml:space="preserve">NOT campaign budget. Your claim: $15,000</t>
  </si>
  <si>
    <t xml:space="preserve">Delivery cost as % of net fee</t>
  </si>
  <si>
    <t xml:space="preserve">Hours per campaign</t>
  </si>
  <si>
    <t xml:space="preserve">P7 · Premium membership</t>
  </si>
  <si>
    <t xml:space="preserve">Paying members end Y1</t>
  </si>
  <si>
    <t xml:space="preserve">members</t>
  </si>
  <si>
    <t xml:space="preserve">Paying members end Y2</t>
  </si>
  <si>
    <t xml:space="preserve">Paying members end Y3</t>
  </si>
  <si>
    <t xml:space="preserve">Your claim was 10,000</t>
  </si>
  <si>
    <t xml:space="preserve">Effective price per member / year</t>
  </si>
  <si>
    <t xml:space="preserve">VERIFIED cap ~$50. Your claim: $180</t>
  </si>
  <si>
    <t xml:space="preserve">COGS per member / year</t>
  </si>
  <si>
    <t xml:space="preserve">$2.00/mo from 2-financial-model</t>
  </si>
  <si>
    <t xml:space="preserve">Support + lifecycle</t>
  </si>
  <si>
    <t xml:space="preserve">Portfolio Roll-up</t>
  </si>
  <si>
    <t xml:space="preserve">Toggle a path ON (1) or OFF (0). The overlap haircuts stop the same demand being counted twice.</t>
  </si>
  <si>
    <t xml:space="preserve">Available founder+contractor FTE</t>
  </si>
  <si>
    <t xml:space="preserve">Two founders at ~50 h/wk combined = 1.25 FTE</t>
  </si>
  <si>
    <t xml:space="preserve">P2/P3 overlap haircut (same bookings)</t>
  </si>
  <si>
    <t xml:space="preserve">P2 and P3 monetise the SAME trips. 100% removes the double count.</t>
  </si>
  <si>
    <t xml:space="preserve">P1/P5 overlap haircut (same DMO budget)</t>
  </si>
  <si>
    <t xml:space="preserve">Both sell to one DMO budget line.</t>
  </si>
  <si>
    <t xml:space="preserve">Path</t>
  </si>
  <si>
    <t xml:space="preserve">ON/OFF</t>
  </si>
  <si>
    <t xml:space="preserve">Y1 revenue</t>
  </si>
  <si>
    <t xml:space="preserve">Y2 revenue</t>
  </si>
  <si>
    <t xml:space="preserve">Y3 revenue</t>
  </si>
  <si>
    <t xml:space="preserve">Y3 gross profit</t>
  </si>
  <si>
    <t xml:space="preserve">Y3 margin</t>
  </si>
  <si>
    <t xml:space="preserve">Y3 FTE</t>
  </si>
  <si>
    <t xml:space="preserve">P5 · Data / analytics</t>
  </si>
  <si>
    <t xml:space="preserve">Gross total (before overlap)</t>
  </si>
  <si>
    <t xml:space="preserve">Less: P2/P3 double count</t>
  </si>
  <si>
    <t xml:space="preserve">Less: P1/P5 same-budget overlap</t>
  </si>
  <si>
    <t xml:space="preserve">ADJUSTED REVENUE — each unit of demand counted once</t>
  </si>
  <si>
    <t xml:space="preserve">§ Feasibility check</t>
  </si>
  <si>
    <t xml:space="preserve">Year-3 FTE required by the paths switched on</t>
  </si>
  <si>
    <t xml:space="preserve">FTE available</t>
  </si>
  <si>
    <t xml:space="preserve">Gap (negative = you cannot staff this)</t>
  </si>
  <si>
    <t xml:space="preserve">Verdict</t>
  </si>
  <si>
    <t xml:space="preserve">§ Against your original claim</t>
  </si>
  <si>
    <t xml:space="preserve">Your stated total (all seven)</t>
  </si>
  <si>
    <t xml:space="preserve">This model, Year 3 adjusted</t>
  </si>
  <si>
    <t xml:space="preserve">Ratio</t>
  </si>
  <si>
    <t xml:space="preserve">P1 · White-label enterprise concierge (DMOs)</t>
  </si>
  <si>
    <t xml:space="preserve">Binding constraint: Reaching ~20 of the ~240 DMOs with the budget. GuideGeek, with a media brand behind it, reached 30.</t>
  </si>
  <si>
    <t xml:space="preserve">Year 1</t>
  </si>
  <si>
    <t xml:space="preserve">Year 2</t>
  </si>
  <si>
    <t xml:space="preserve">Year 3</t>
  </si>
  <si>
    <t xml:space="preserve">Volume</t>
  </si>
  <si>
    <t xml:space="preserve">Clients at year end</t>
  </si>
  <si>
    <t xml:space="preserve">Average clients in year</t>
  </si>
  <si>
    <t xml:space="preserve">Revenue</t>
  </si>
  <si>
    <t xml:space="preserve">Subscription revenue</t>
  </si>
  <si>
    <t xml:space="preserve">Costs</t>
  </si>
  <si>
    <t xml:space="preserve">Support + infrastructure</t>
  </si>
  <si>
    <t xml:space="preserve">White-label build (one-time)</t>
  </si>
  <si>
    <t xml:space="preserve">Gross profit</t>
  </si>
  <si>
    <t xml:space="preserve">Gross margin</t>
  </si>
  <si>
    <t xml:space="preserve">Effort</t>
  </si>
  <si>
    <t xml:space="preserve">FTE required</t>
  </si>
  <si>
    <t xml:space="preserve">P2 · Revenue share on attributed incremental bookings</t>
  </si>
  <si>
    <t xml:space="preserve">Binding constraint: Getting a sophisticated partner to accept that a booking was incremental. Holdout tests cut the payable base.</t>
  </si>
  <si>
    <t xml:space="preserve">Partners live</t>
  </si>
  <si>
    <t xml:space="preserve">Attributed GMV</t>
  </si>
  <si>
    <t xml:space="preserve">Incremental GMV accepted</t>
  </si>
  <si>
    <t xml:space="preserve">Revenue share earned</t>
  </si>
  <si>
    <t xml:space="preserve">Attribution infrastructure</t>
  </si>
  <si>
    <t xml:space="preserve">P3 · Booking marketplace commissions</t>
  </si>
  <si>
    <t xml:space="preserve">Binding constraint: Booked trip volume. The rate is verified at 5.0-6.5% blended, not 8% - stays pay least and are most of the basket.</t>
  </si>
  <si>
    <t xml:space="preserve">Trips planned (from core model)</t>
  </si>
  <si>
    <t xml:space="preserve">Booked trips</t>
  </si>
  <si>
    <t xml:space="preserve">Gross booking value</t>
  </si>
  <si>
    <t xml:space="preserve">Commission revenue</t>
  </si>
  <si>
    <t xml:space="preserve">Integration build (one-time)</t>
  </si>
  <si>
    <t xml:space="preserve">P4 · Corporate / group planning</t>
  </si>
  <si>
    <t xml:space="preserve">Binding constraint: Founder and planner hours. This is a services P&amp;L, not SaaS - revenue scales with people.</t>
  </si>
  <si>
    <t xml:space="preserve">Group trips delivered</t>
  </si>
  <si>
    <t xml:space="preserve">Planning fee revenue</t>
  </si>
  <si>
    <t xml:space="preserve">Delivery cost</t>
  </si>
  <si>
    <t xml:space="preserve">Sales cost</t>
  </si>
  <si>
    <t xml:space="preserve">P5 · Data and analytics SaaS</t>
  </si>
  <si>
    <t xml:space="preserve">Binding constraint: Data supply, not demand - and it sells into the same DMO budget line as P1.</t>
  </si>
  <si>
    <t xml:space="preserve">Data pipeline</t>
  </si>
  <si>
    <t xml:space="preserve">P6 · Managed creator campaigns</t>
  </si>
  <si>
    <t xml:space="preserve">Binding constraint: Fee basis. The industry charges 10-25% OF CAMPAIGN BUDGET, so a $15k campaign nets about $3k, not $15k.</t>
  </si>
  <si>
    <t xml:space="preserve">Campaigns run</t>
  </si>
  <si>
    <t xml:space="preserve">Net fee revenue</t>
  </si>
  <si>
    <t xml:space="preserve">P7 · Premium consumer membership</t>
  </si>
  <si>
    <t xml:space="preserve">Binding constraint: Price. Verified category cap is about $50/year (Wanderlog Pro $39.99, TripIt Pro $49). $180/year is 3.6x that.</t>
  </si>
  <si>
    <t xml:space="preserve">Paying members at year end</t>
  </si>
  <si>
    <t xml:space="preserve">Average members in year</t>
  </si>
  <si>
    <t xml:space="preserve">Membership revenue</t>
  </si>
  <si>
    <t xml:space="preserve">COGS (API, model, hosting)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</si>
</sst>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;&quot;($&quot;#,##0\);\-"/>
    <numFmt numFmtId="167" formatCode="0.0%"/>
    <numFmt numFmtId="168" formatCode="0.00"/>
    <numFmt numFmtId="169" formatCode="#,##0"/>
    <numFmt numFmtId="170" formatCode="0.0\x"/>
    <numFmt numFmtId="171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5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6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7" t="s">
        <v>19</v>
      </c>
    </row>
    <row r="25" customFormat="false" ht="15" hidden="false" customHeight="false" outlineLevel="0" collapsed="false">
      <c r="A25" s="4" t="s">
        <v>20</v>
      </c>
    </row>
    <row r="27" customFormat="false" ht="15" hidden="false" customHeight="false" outlineLevel="0" collapsed="false">
      <c r="A27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  <col collapsed="false" customWidth="true" hidden="false" outlineLevel="0" max="6" min="6" style="0" width="11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9" t="s">
        <v>24</v>
      </c>
      <c r="B4" s="10" t="n">
        <v>2</v>
      </c>
      <c r="C4" s="11" t="str">
        <f aca="false">INDEX({"Conservative","Base","Aggressive"},1,$B$4)</f>
        <v>Base</v>
      </c>
    </row>
    <row r="6" customFormat="false" ht="15" hidden="false" customHeight="false" outlineLevel="0" collapsed="false">
      <c r="A6" s="12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  <c r="G6" s="12" t="s">
        <v>31</v>
      </c>
    </row>
    <row r="7" customFormat="false" ht="15" hidden="false" customHeight="false" outlineLevel="0" collapsed="false">
      <c r="A7" s="13" t="s">
        <v>32</v>
      </c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4" t="s">
        <v>33</v>
      </c>
      <c r="B8" s="15" t="n">
        <v>1</v>
      </c>
      <c r="C8" s="15" t="n">
        <v>2</v>
      </c>
      <c r="D8" s="15" t="n">
        <v>4</v>
      </c>
      <c r="E8" s="16" t="n">
        <f aca="false">INDEX($B8:$D8,1,$B$4)</f>
        <v>2</v>
      </c>
      <c r="F8" s="2" t="s">
        <v>34</v>
      </c>
      <c r="G8" s="2"/>
    </row>
    <row r="9" customFormat="false" ht="15" hidden="false" customHeight="false" outlineLevel="0" collapsed="false">
      <c r="A9" s="4" t="s">
        <v>35</v>
      </c>
      <c r="B9" s="15" t="n">
        <v>3</v>
      </c>
      <c r="C9" s="15" t="n">
        <v>6</v>
      </c>
      <c r="D9" s="15" t="n">
        <v>10</v>
      </c>
      <c r="E9" s="16" t="n">
        <f aca="false">INDEX($B9:$D9,1,$B$4)</f>
        <v>6</v>
      </c>
      <c r="F9" s="2" t="s">
        <v>34</v>
      </c>
      <c r="G9" s="2"/>
    </row>
    <row r="10" customFormat="false" ht="15" hidden="false" customHeight="false" outlineLevel="0" collapsed="false">
      <c r="A10" s="4" t="s">
        <v>36</v>
      </c>
      <c r="B10" s="15" t="n">
        <v>6</v>
      </c>
      <c r="C10" s="15" t="n">
        <v>12</v>
      </c>
      <c r="D10" s="15" t="n">
        <v>20</v>
      </c>
      <c r="E10" s="16" t="n">
        <f aca="false">INDEX($B10:$D10,1,$B$4)</f>
        <v>12</v>
      </c>
      <c r="F10" s="2" t="s">
        <v>34</v>
      </c>
      <c r="G10" s="2" t="s">
        <v>37</v>
      </c>
    </row>
    <row r="11" customFormat="false" ht="15" hidden="false" customHeight="false" outlineLevel="0" collapsed="false">
      <c r="A11" s="4" t="s">
        <v>38</v>
      </c>
      <c r="B11" s="17" t="n">
        <v>2000</v>
      </c>
      <c r="C11" s="17" t="n">
        <v>3000</v>
      </c>
      <c r="D11" s="17" t="n">
        <v>5000</v>
      </c>
      <c r="E11" s="18" t="n">
        <f aca="false">INDEX($B11:$D11,1,$B$4)</f>
        <v>3000</v>
      </c>
      <c r="F11" s="2" t="s">
        <v>39</v>
      </c>
      <c r="G11" s="2" t="s">
        <v>40</v>
      </c>
    </row>
    <row r="12" customFormat="false" ht="15" hidden="false" customHeight="false" outlineLevel="0" collapsed="false">
      <c r="A12" s="4" t="s">
        <v>41</v>
      </c>
      <c r="B12" s="17" t="n">
        <v>250</v>
      </c>
      <c r="C12" s="17" t="n">
        <v>250</v>
      </c>
      <c r="D12" s="17" t="n">
        <v>250</v>
      </c>
      <c r="E12" s="18" t="n">
        <f aca="false">INDEX($B12:$D12,1,$B$4)</f>
        <v>250</v>
      </c>
      <c r="F12" s="2" t="s">
        <v>39</v>
      </c>
      <c r="G12" s="2"/>
    </row>
    <row r="13" customFormat="false" ht="15" hidden="false" customHeight="false" outlineLevel="0" collapsed="false">
      <c r="A13" s="4" t="s">
        <v>42</v>
      </c>
      <c r="B13" s="17" t="n">
        <v>60000</v>
      </c>
      <c r="C13" s="17" t="n">
        <v>60000</v>
      </c>
      <c r="D13" s="17" t="n">
        <v>60000</v>
      </c>
      <c r="E13" s="18" t="n">
        <f aca="false">INDEX($B13:$D13,1,$B$4)</f>
        <v>60000</v>
      </c>
      <c r="F13" s="2" t="s">
        <v>43</v>
      </c>
      <c r="G13" s="2" t="s">
        <v>44</v>
      </c>
    </row>
    <row r="14" customFormat="false" ht="15" hidden="false" customHeight="false" outlineLevel="0" collapsed="false">
      <c r="A14" s="4" t="s">
        <v>45</v>
      </c>
      <c r="B14" s="15" t="n">
        <v>120</v>
      </c>
      <c r="C14" s="15" t="n">
        <v>120</v>
      </c>
      <c r="D14" s="15" t="n">
        <v>120</v>
      </c>
      <c r="E14" s="16" t="n">
        <f aca="false">INDEX($B14:$D14,1,$B$4)</f>
        <v>120</v>
      </c>
      <c r="F14" s="2" t="s">
        <v>46</v>
      </c>
      <c r="G14" s="2" t="s">
        <v>47</v>
      </c>
    </row>
    <row r="15" customFormat="false" ht="15" hidden="false" customHeight="false" outlineLevel="0" collapsed="false">
      <c r="A15" s="4" t="s">
        <v>48</v>
      </c>
      <c r="B15" s="15" t="n">
        <v>600</v>
      </c>
      <c r="C15" s="15" t="n">
        <v>600</v>
      </c>
      <c r="D15" s="15" t="n">
        <v>600</v>
      </c>
      <c r="E15" s="16" t="n">
        <f aca="false">INDEX($B15:$D15,1,$B$4)</f>
        <v>600</v>
      </c>
      <c r="F15" s="2" t="s">
        <v>46</v>
      </c>
      <c r="G15" s="2" t="s">
        <v>49</v>
      </c>
    </row>
    <row r="17" customFormat="false" ht="15" hidden="false" customHeight="false" outlineLevel="0" collapsed="false">
      <c r="A17" s="13" t="s">
        <v>50</v>
      </c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4" t="s">
        <v>51</v>
      </c>
      <c r="B18" s="15" t="n">
        <v>0</v>
      </c>
      <c r="C18" s="15" t="n">
        <v>0</v>
      </c>
      <c r="D18" s="15" t="n">
        <v>0</v>
      </c>
      <c r="E18" s="16" t="n">
        <f aca="false">INDEX($B18:$D18,1,$B$4)</f>
        <v>0</v>
      </c>
      <c r="F18" s="2" t="s">
        <v>52</v>
      </c>
      <c r="G18" s="2"/>
    </row>
    <row r="19" customFormat="false" ht="15" hidden="false" customHeight="false" outlineLevel="0" collapsed="false">
      <c r="A19" s="4" t="s">
        <v>53</v>
      </c>
      <c r="B19" s="15" t="n">
        <v>0</v>
      </c>
      <c r="C19" s="15" t="n">
        <v>1</v>
      </c>
      <c r="D19" s="15" t="n">
        <v>1</v>
      </c>
      <c r="E19" s="16" t="n">
        <f aca="false">INDEX($B19:$D19,1,$B$4)</f>
        <v>1</v>
      </c>
      <c r="F19" s="2" t="s">
        <v>52</v>
      </c>
      <c r="G19" s="2"/>
    </row>
    <row r="20" customFormat="false" ht="15" hidden="false" customHeight="false" outlineLevel="0" collapsed="false">
      <c r="A20" s="4" t="s">
        <v>54</v>
      </c>
      <c r="B20" s="15" t="n">
        <v>1</v>
      </c>
      <c r="C20" s="15" t="n">
        <v>2</v>
      </c>
      <c r="D20" s="15" t="n">
        <v>3</v>
      </c>
      <c r="E20" s="16" t="n">
        <f aca="false">INDEX($B20:$D20,1,$B$4)</f>
        <v>2</v>
      </c>
      <c r="F20" s="2" t="s">
        <v>52</v>
      </c>
      <c r="G20" s="2"/>
    </row>
    <row r="21" customFormat="false" ht="15" hidden="false" customHeight="false" outlineLevel="0" collapsed="false">
      <c r="A21" s="4" t="s">
        <v>55</v>
      </c>
      <c r="B21" s="17" t="n">
        <v>1000000</v>
      </c>
      <c r="C21" s="17" t="n">
        <v>2000000</v>
      </c>
      <c r="D21" s="17" t="n">
        <v>5000000</v>
      </c>
      <c r="E21" s="18" t="n">
        <f aca="false">INDEX($B21:$D21,1,$B$4)</f>
        <v>2000000</v>
      </c>
      <c r="F21" s="2" t="s">
        <v>43</v>
      </c>
      <c r="G21" s="2" t="s">
        <v>56</v>
      </c>
    </row>
    <row r="22" customFormat="false" ht="15" hidden="false" customHeight="false" outlineLevel="0" collapsed="false">
      <c r="A22" s="4" t="s">
        <v>57</v>
      </c>
      <c r="B22" s="19" t="n">
        <v>0.2</v>
      </c>
      <c r="C22" s="19" t="n">
        <v>0.3</v>
      </c>
      <c r="D22" s="19" t="n">
        <v>0.5</v>
      </c>
      <c r="E22" s="20" t="n">
        <f aca="false">INDEX($B22:$D22,1,$B$4)</f>
        <v>0.3</v>
      </c>
      <c r="F22" s="2" t="s">
        <v>58</v>
      </c>
      <c r="G22" s="2" t="s">
        <v>59</v>
      </c>
    </row>
    <row r="23" customFormat="false" ht="15" hidden="false" customHeight="false" outlineLevel="0" collapsed="false">
      <c r="A23" s="4" t="s">
        <v>60</v>
      </c>
      <c r="B23" s="19" t="n">
        <v>0.1</v>
      </c>
      <c r="C23" s="19" t="n">
        <v>0.1</v>
      </c>
      <c r="D23" s="19" t="n">
        <v>0.125</v>
      </c>
      <c r="E23" s="20" t="n">
        <f aca="false">INDEX($B23:$D23,1,$B$4)</f>
        <v>0.1</v>
      </c>
      <c r="F23" s="2" t="s">
        <v>58</v>
      </c>
      <c r="G23" s="2"/>
    </row>
    <row r="24" customFormat="false" ht="15" hidden="false" customHeight="false" outlineLevel="0" collapsed="false">
      <c r="A24" s="4" t="s">
        <v>61</v>
      </c>
      <c r="B24" s="17" t="n">
        <v>20000</v>
      </c>
      <c r="C24" s="17" t="n">
        <v>20000</v>
      </c>
      <c r="D24" s="17" t="n">
        <v>25000</v>
      </c>
      <c r="E24" s="18" t="n">
        <f aca="false">INDEX($B24:$D24,1,$B$4)</f>
        <v>20000</v>
      </c>
      <c r="F24" s="2" t="s">
        <v>43</v>
      </c>
      <c r="G24" s="2"/>
    </row>
    <row r="25" customFormat="false" ht="15" hidden="false" customHeight="false" outlineLevel="0" collapsed="false">
      <c r="A25" s="4" t="s">
        <v>62</v>
      </c>
      <c r="B25" s="15" t="n">
        <v>300</v>
      </c>
      <c r="C25" s="15" t="n">
        <v>300</v>
      </c>
      <c r="D25" s="15" t="n">
        <v>300</v>
      </c>
      <c r="E25" s="16" t="n">
        <f aca="false">INDEX($B25:$D25,1,$B$4)</f>
        <v>300</v>
      </c>
      <c r="F25" s="2" t="s">
        <v>46</v>
      </c>
      <c r="G25" s="2"/>
    </row>
    <row r="27" customFormat="false" ht="15" hidden="false" customHeight="false" outlineLevel="0" collapsed="false">
      <c r="A27" s="13" t="s">
        <v>63</v>
      </c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4" t="s">
        <v>64</v>
      </c>
      <c r="B28" s="15" t="n">
        <v>1685</v>
      </c>
      <c r="C28" s="15" t="n">
        <v>1685</v>
      </c>
      <c r="D28" s="15" t="n">
        <v>1685</v>
      </c>
      <c r="E28" s="16" t="n">
        <f aca="false">INDEX($B28:$D28,1,$B$4)</f>
        <v>1685</v>
      </c>
      <c r="F28" s="2" t="s">
        <v>65</v>
      </c>
      <c r="G28" s="2" t="s">
        <v>66</v>
      </c>
    </row>
    <row r="29" customFormat="false" ht="15" hidden="false" customHeight="false" outlineLevel="0" collapsed="false">
      <c r="A29" s="4" t="s">
        <v>67</v>
      </c>
      <c r="B29" s="15" t="n">
        <v>7448</v>
      </c>
      <c r="C29" s="15" t="n">
        <v>7448</v>
      </c>
      <c r="D29" s="15" t="n">
        <v>7448</v>
      </c>
      <c r="E29" s="16" t="n">
        <f aca="false">INDEX($B29:$D29,1,$B$4)</f>
        <v>7448</v>
      </c>
      <c r="F29" s="2" t="s">
        <v>65</v>
      </c>
      <c r="G29" s="2" t="s">
        <v>66</v>
      </c>
    </row>
    <row r="30" customFormat="false" ht="15" hidden="false" customHeight="false" outlineLevel="0" collapsed="false">
      <c r="A30" s="4" t="s">
        <v>68</v>
      </c>
      <c r="B30" s="15" t="n">
        <v>14644</v>
      </c>
      <c r="C30" s="15" t="n">
        <v>14644</v>
      </c>
      <c r="D30" s="15" t="n">
        <v>14644</v>
      </c>
      <c r="E30" s="16" t="n">
        <f aca="false">INDEX($B30:$D30,1,$B$4)</f>
        <v>14644</v>
      </c>
      <c r="F30" s="2" t="s">
        <v>65</v>
      </c>
      <c r="G30" s="2" t="s">
        <v>66</v>
      </c>
    </row>
    <row r="31" customFormat="false" ht="15" hidden="false" customHeight="false" outlineLevel="0" collapsed="false">
      <c r="A31" s="4" t="s">
        <v>69</v>
      </c>
      <c r="B31" s="19" t="n">
        <v>0.15</v>
      </c>
      <c r="C31" s="19" t="n">
        <v>0.25</v>
      </c>
      <c r="D31" s="19" t="n">
        <v>0.4</v>
      </c>
      <c r="E31" s="20" t="n">
        <f aca="false">INDEX($B31:$D31,1,$B$4)</f>
        <v>0.25</v>
      </c>
      <c r="F31" s="2" t="s">
        <v>58</v>
      </c>
      <c r="G31" s="2" t="s">
        <v>70</v>
      </c>
    </row>
    <row r="32" customFormat="false" ht="15" hidden="false" customHeight="false" outlineLevel="0" collapsed="false">
      <c r="A32" s="4" t="s">
        <v>71</v>
      </c>
      <c r="B32" s="17" t="n">
        <v>940</v>
      </c>
      <c r="C32" s="17" t="n">
        <v>940</v>
      </c>
      <c r="D32" s="17" t="n">
        <v>940</v>
      </c>
      <c r="E32" s="18" t="n">
        <f aca="false">INDEX($B32:$D32,1,$B$4)</f>
        <v>940</v>
      </c>
      <c r="F32" s="2" t="s">
        <v>43</v>
      </c>
      <c r="G32" s="2" t="s">
        <v>72</v>
      </c>
    </row>
    <row r="33" customFormat="false" ht="15" hidden="false" customHeight="false" outlineLevel="0" collapsed="false">
      <c r="A33" s="4" t="s">
        <v>73</v>
      </c>
      <c r="B33" s="19" t="n">
        <v>0.05</v>
      </c>
      <c r="C33" s="19" t="n">
        <v>0.055</v>
      </c>
      <c r="D33" s="19" t="n">
        <v>0.065</v>
      </c>
      <c r="E33" s="20" t="n">
        <f aca="false">INDEX($B33:$D33,1,$B$4)</f>
        <v>0.055</v>
      </c>
      <c r="F33" s="2" t="s">
        <v>58</v>
      </c>
      <c r="G33" s="2" t="s">
        <v>74</v>
      </c>
    </row>
    <row r="34" customFormat="false" ht="15" hidden="false" customHeight="false" outlineLevel="0" collapsed="false">
      <c r="A34" s="4" t="s">
        <v>75</v>
      </c>
      <c r="B34" s="17" t="n">
        <v>2000</v>
      </c>
      <c r="C34" s="17" t="n">
        <v>2000</v>
      </c>
      <c r="D34" s="17" t="n">
        <v>2000</v>
      </c>
      <c r="E34" s="18" t="n">
        <f aca="false">INDEX($B34:$D34,1,$B$4)</f>
        <v>2000</v>
      </c>
      <c r="F34" s="2" t="s">
        <v>43</v>
      </c>
      <c r="G34" s="2"/>
    </row>
    <row r="35" customFormat="false" ht="15" hidden="false" customHeight="false" outlineLevel="0" collapsed="false">
      <c r="A35" s="4" t="s">
        <v>76</v>
      </c>
      <c r="B35" s="15" t="n">
        <v>80</v>
      </c>
      <c r="C35" s="15" t="n">
        <v>80</v>
      </c>
      <c r="D35" s="15" t="n">
        <v>80</v>
      </c>
      <c r="E35" s="16" t="n">
        <f aca="false">INDEX($B35:$D35,1,$B$4)</f>
        <v>80</v>
      </c>
      <c r="F35" s="2" t="s">
        <v>46</v>
      </c>
      <c r="G35" s="2"/>
    </row>
    <row r="37" customFormat="false" ht="15" hidden="false" customHeight="false" outlineLevel="0" collapsed="false">
      <c r="A37" s="13" t="s">
        <v>77</v>
      </c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4" t="s">
        <v>78</v>
      </c>
      <c r="B38" s="15" t="n">
        <v>8</v>
      </c>
      <c r="C38" s="15" t="n">
        <v>12</v>
      </c>
      <c r="D38" s="15" t="n">
        <v>20</v>
      </c>
      <c r="E38" s="16" t="n">
        <f aca="false">INDEX($B38:$D38,1,$B$4)</f>
        <v>12</v>
      </c>
      <c r="F38" s="2" t="s">
        <v>65</v>
      </c>
      <c r="G38" s="2"/>
    </row>
    <row r="39" customFormat="false" ht="15" hidden="false" customHeight="false" outlineLevel="0" collapsed="false">
      <c r="A39" s="4" t="s">
        <v>79</v>
      </c>
      <c r="B39" s="15" t="n">
        <v>20</v>
      </c>
      <c r="C39" s="15" t="n">
        <v>30</v>
      </c>
      <c r="D39" s="15" t="n">
        <v>50</v>
      </c>
      <c r="E39" s="16" t="n">
        <f aca="false">INDEX($B39:$D39,1,$B$4)</f>
        <v>30</v>
      </c>
      <c r="F39" s="2" t="s">
        <v>65</v>
      </c>
      <c r="G39" s="2"/>
    </row>
    <row r="40" customFormat="false" ht="15" hidden="false" customHeight="false" outlineLevel="0" collapsed="false">
      <c r="A40" s="4" t="s">
        <v>80</v>
      </c>
      <c r="B40" s="15" t="n">
        <v>30</v>
      </c>
      <c r="C40" s="15" t="n">
        <v>45</v>
      </c>
      <c r="D40" s="15" t="n">
        <v>80</v>
      </c>
      <c r="E40" s="16" t="n">
        <f aca="false">INDEX($B40:$D40,1,$B$4)</f>
        <v>45</v>
      </c>
      <c r="F40" s="2" t="s">
        <v>65</v>
      </c>
      <c r="G40" s="2" t="s">
        <v>81</v>
      </c>
    </row>
    <row r="41" customFormat="false" ht="15" hidden="false" customHeight="false" outlineLevel="0" collapsed="false">
      <c r="A41" s="4" t="s">
        <v>82</v>
      </c>
      <c r="B41" s="17" t="n">
        <v>3000</v>
      </c>
      <c r="C41" s="17" t="n">
        <v>4500</v>
      </c>
      <c r="D41" s="17" t="n">
        <v>7500</v>
      </c>
      <c r="E41" s="18" t="n">
        <f aca="false">INDEX($B41:$D41,1,$B$4)</f>
        <v>4500</v>
      </c>
      <c r="F41" s="2" t="s">
        <v>43</v>
      </c>
      <c r="G41" s="2" t="s">
        <v>83</v>
      </c>
    </row>
    <row r="42" customFormat="false" ht="15" hidden="false" customHeight="false" outlineLevel="0" collapsed="false">
      <c r="A42" s="4" t="s">
        <v>84</v>
      </c>
      <c r="B42" s="17" t="n">
        <v>1400</v>
      </c>
      <c r="C42" s="17" t="n">
        <v>1200</v>
      </c>
      <c r="D42" s="17" t="n">
        <v>1000</v>
      </c>
      <c r="E42" s="18" t="n">
        <f aca="false">INDEX($B42:$D42,1,$B$4)</f>
        <v>1200</v>
      </c>
      <c r="F42" s="2" t="s">
        <v>43</v>
      </c>
      <c r="G42" s="2" t="s">
        <v>85</v>
      </c>
    </row>
    <row r="43" customFormat="false" ht="15" hidden="false" customHeight="false" outlineLevel="0" collapsed="false">
      <c r="A43" s="4" t="s">
        <v>86</v>
      </c>
      <c r="B43" s="19" t="n">
        <v>0.12</v>
      </c>
      <c r="C43" s="19" t="n">
        <v>0.1</v>
      </c>
      <c r="D43" s="19" t="n">
        <v>0.08</v>
      </c>
      <c r="E43" s="20" t="n">
        <f aca="false">INDEX($B43:$D43,1,$B$4)</f>
        <v>0.1</v>
      </c>
      <c r="F43" s="2" t="s">
        <v>58</v>
      </c>
      <c r="G43" s="2"/>
    </row>
    <row r="44" customFormat="false" ht="15" hidden="false" customHeight="false" outlineLevel="0" collapsed="false">
      <c r="A44" s="4" t="s">
        <v>87</v>
      </c>
      <c r="B44" s="15" t="n">
        <v>22</v>
      </c>
      <c r="C44" s="15" t="n">
        <v>22</v>
      </c>
      <c r="D44" s="15" t="n">
        <v>22</v>
      </c>
      <c r="E44" s="16" t="n">
        <f aca="false">INDEX($B44:$D44,1,$B$4)</f>
        <v>22</v>
      </c>
      <c r="F44" s="2" t="s">
        <v>46</v>
      </c>
      <c r="G44" s="2" t="s">
        <v>88</v>
      </c>
    </row>
    <row r="45" customFormat="false" ht="15" hidden="false" customHeight="false" outlineLevel="0" collapsed="false">
      <c r="A45" s="4" t="s">
        <v>48</v>
      </c>
      <c r="B45" s="15" t="n">
        <v>300</v>
      </c>
      <c r="C45" s="15" t="n">
        <v>300</v>
      </c>
      <c r="D45" s="15" t="n">
        <v>300</v>
      </c>
      <c r="E45" s="16" t="n">
        <f aca="false">INDEX($B45:$D45,1,$B$4)</f>
        <v>300</v>
      </c>
      <c r="F45" s="2" t="s">
        <v>46</v>
      </c>
      <c r="G45" s="2"/>
    </row>
    <row r="47" customFormat="false" ht="15" hidden="false" customHeight="false" outlineLevel="0" collapsed="false">
      <c r="A47" s="13" t="s">
        <v>89</v>
      </c>
      <c r="B47" s="14"/>
      <c r="C47" s="14"/>
      <c r="D47" s="14"/>
      <c r="E47" s="14"/>
      <c r="F47" s="14"/>
      <c r="G47" s="14"/>
    </row>
    <row r="48" customFormat="false" ht="15" hidden="false" customHeight="false" outlineLevel="0" collapsed="false">
      <c r="A48" s="4" t="s">
        <v>90</v>
      </c>
      <c r="B48" s="15" t="n">
        <v>0</v>
      </c>
      <c r="C48" s="15" t="n">
        <v>0</v>
      </c>
      <c r="D48" s="15" t="n">
        <v>0</v>
      </c>
      <c r="E48" s="16" t="n">
        <f aca="false">INDEX($B48:$D48,1,$B$4)</f>
        <v>0</v>
      </c>
      <c r="F48" s="2" t="s">
        <v>34</v>
      </c>
      <c r="G48" s="2" t="s">
        <v>91</v>
      </c>
    </row>
    <row r="49" customFormat="false" ht="15" hidden="false" customHeight="false" outlineLevel="0" collapsed="false">
      <c r="A49" s="4" t="s">
        <v>92</v>
      </c>
      <c r="B49" s="15" t="n">
        <v>1</v>
      </c>
      <c r="C49" s="15" t="n">
        <v>2</v>
      </c>
      <c r="D49" s="15" t="n">
        <v>4</v>
      </c>
      <c r="E49" s="16" t="n">
        <f aca="false">INDEX($B49:$D49,1,$B$4)</f>
        <v>2</v>
      </c>
      <c r="F49" s="2" t="s">
        <v>34</v>
      </c>
      <c r="G49" s="2"/>
    </row>
    <row r="50" customFormat="false" ht="15" hidden="false" customHeight="false" outlineLevel="0" collapsed="false">
      <c r="A50" s="4" t="s">
        <v>93</v>
      </c>
      <c r="B50" s="15" t="n">
        <v>4</v>
      </c>
      <c r="C50" s="15" t="n">
        <v>8</v>
      </c>
      <c r="D50" s="15" t="n">
        <v>15</v>
      </c>
      <c r="E50" s="16" t="n">
        <f aca="false">INDEX($B50:$D50,1,$B$4)</f>
        <v>8</v>
      </c>
      <c r="F50" s="2" t="s">
        <v>34</v>
      </c>
      <c r="G50" s="2" t="s">
        <v>94</v>
      </c>
    </row>
    <row r="51" customFormat="false" ht="15" hidden="false" customHeight="false" outlineLevel="0" collapsed="false">
      <c r="A51" s="4" t="s">
        <v>38</v>
      </c>
      <c r="B51" s="17" t="n">
        <v>1000</v>
      </c>
      <c r="C51" s="17" t="n">
        <v>1500</v>
      </c>
      <c r="D51" s="17" t="n">
        <v>2500</v>
      </c>
      <c r="E51" s="18" t="n">
        <f aca="false">INDEX($B51:$D51,1,$B$4)</f>
        <v>1500</v>
      </c>
      <c r="F51" s="2" t="s">
        <v>43</v>
      </c>
      <c r="G51" s="2" t="s">
        <v>95</v>
      </c>
    </row>
    <row r="52" customFormat="false" ht="15" hidden="false" customHeight="false" outlineLevel="0" collapsed="false">
      <c r="A52" s="4" t="s">
        <v>96</v>
      </c>
      <c r="B52" s="17" t="n">
        <v>15000</v>
      </c>
      <c r="C52" s="17" t="n">
        <v>15000</v>
      </c>
      <c r="D52" s="17" t="n">
        <v>20000</v>
      </c>
      <c r="E52" s="18" t="n">
        <f aca="false">INDEX($B52:$D52,1,$B$4)</f>
        <v>15000</v>
      </c>
      <c r="F52" s="2" t="s">
        <v>43</v>
      </c>
      <c r="G52" s="2"/>
    </row>
    <row r="53" customFormat="false" ht="15" hidden="false" customHeight="false" outlineLevel="0" collapsed="false">
      <c r="A53" s="4" t="s">
        <v>45</v>
      </c>
      <c r="B53" s="15" t="n">
        <v>100</v>
      </c>
      <c r="C53" s="15" t="n">
        <v>100</v>
      </c>
      <c r="D53" s="15" t="n">
        <v>100</v>
      </c>
      <c r="E53" s="16" t="n">
        <f aca="false">INDEX($B53:$D53,1,$B$4)</f>
        <v>100</v>
      </c>
      <c r="F53" s="2" t="s">
        <v>46</v>
      </c>
      <c r="G53" s="2"/>
    </row>
    <row r="54" customFormat="false" ht="15" hidden="false" customHeight="false" outlineLevel="0" collapsed="false">
      <c r="A54" s="4" t="s">
        <v>76</v>
      </c>
      <c r="B54" s="15" t="n">
        <v>200</v>
      </c>
      <c r="C54" s="15" t="n">
        <v>200</v>
      </c>
      <c r="D54" s="15" t="n">
        <v>200</v>
      </c>
      <c r="E54" s="16" t="n">
        <f aca="false">INDEX($B54:$D54,1,$B$4)</f>
        <v>200</v>
      </c>
      <c r="F54" s="2" t="s">
        <v>46</v>
      </c>
      <c r="G54" s="2"/>
    </row>
    <row r="56" customFormat="false" ht="15" hidden="false" customHeight="false" outlineLevel="0" collapsed="false">
      <c r="A56" s="13" t="s">
        <v>97</v>
      </c>
      <c r="B56" s="14"/>
      <c r="C56" s="14"/>
      <c r="D56" s="14"/>
      <c r="E56" s="14"/>
      <c r="F56" s="14"/>
      <c r="G56" s="14"/>
    </row>
    <row r="57" customFormat="false" ht="15" hidden="false" customHeight="false" outlineLevel="0" collapsed="false">
      <c r="A57" s="4" t="s">
        <v>98</v>
      </c>
      <c r="B57" s="15" t="n">
        <v>5</v>
      </c>
      <c r="C57" s="15" t="n">
        <v>8</v>
      </c>
      <c r="D57" s="15" t="n">
        <v>12</v>
      </c>
      <c r="E57" s="16" t="n">
        <f aca="false">INDEX($B57:$D57,1,$B$4)</f>
        <v>8</v>
      </c>
      <c r="F57" s="2" t="s">
        <v>99</v>
      </c>
      <c r="G57" s="2"/>
    </row>
    <row r="58" customFormat="false" ht="15" hidden="false" customHeight="false" outlineLevel="0" collapsed="false">
      <c r="A58" s="4" t="s">
        <v>100</v>
      </c>
      <c r="B58" s="15" t="n">
        <v>12</v>
      </c>
      <c r="C58" s="15" t="n">
        <v>16</v>
      </c>
      <c r="D58" s="15" t="n">
        <v>25</v>
      </c>
      <c r="E58" s="16" t="n">
        <f aca="false">INDEX($B58:$D58,1,$B$4)</f>
        <v>16</v>
      </c>
      <c r="F58" s="2" t="s">
        <v>99</v>
      </c>
      <c r="G58" s="2"/>
    </row>
    <row r="59" customFormat="false" ht="15" hidden="false" customHeight="false" outlineLevel="0" collapsed="false">
      <c r="A59" s="4" t="s">
        <v>101</v>
      </c>
      <c r="B59" s="15" t="n">
        <v>20</v>
      </c>
      <c r="C59" s="15" t="n">
        <v>24</v>
      </c>
      <c r="D59" s="15" t="n">
        <v>40</v>
      </c>
      <c r="E59" s="16" t="n">
        <f aca="false">INDEX($B59:$D59,1,$B$4)</f>
        <v>24</v>
      </c>
      <c r="F59" s="2" t="s">
        <v>99</v>
      </c>
      <c r="G59" s="2" t="s">
        <v>102</v>
      </c>
    </row>
    <row r="60" customFormat="false" ht="15" hidden="false" customHeight="false" outlineLevel="0" collapsed="false">
      <c r="A60" s="4" t="s">
        <v>103</v>
      </c>
      <c r="B60" s="17" t="n">
        <v>2000</v>
      </c>
      <c r="C60" s="17" t="n">
        <v>3000</v>
      </c>
      <c r="D60" s="17" t="n">
        <v>5000</v>
      </c>
      <c r="E60" s="18" t="n">
        <f aca="false">INDEX($B60:$D60,1,$B$4)</f>
        <v>3000</v>
      </c>
      <c r="F60" s="2" t="s">
        <v>43</v>
      </c>
      <c r="G60" s="2" t="s">
        <v>104</v>
      </c>
    </row>
    <row r="61" customFormat="false" ht="15" hidden="false" customHeight="false" outlineLevel="0" collapsed="false">
      <c r="A61" s="4" t="s">
        <v>105</v>
      </c>
      <c r="B61" s="19" t="n">
        <v>0.45</v>
      </c>
      <c r="C61" s="19" t="n">
        <v>0.4</v>
      </c>
      <c r="D61" s="19" t="n">
        <v>0.35</v>
      </c>
      <c r="E61" s="20" t="n">
        <f aca="false">INDEX($B61:$D61,1,$B$4)</f>
        <v>0.4</v>
      </c>
      <c r="F61" s="2" t="s">
        <v>58</v>
      </c>
      <c r="G61" s="2"/>
    </row>
    <row r="62" customFormat="false" ht="15" hidden="false" customHeight="false" outlineLevel="0" collapsed="false">
      <c r="A62" s="4" t="s">
        <v>106</v>
      </c>
      <c r="B62" s="15" t="n">
        <v>25</v>
      </c>
      <c r="C62" s="15" t="n">
        <v>25</v>
      </c>
      <c r="D62" s="15" t="n">
        <v>25</v>
      </c>
      <c r="E62" s="16" t="n">
        <f aca="false">INDEX($B62:$D62,1,$B$4)</f>
        <v>25</v>
      </c>
      <c r="F62" s="2" t="s">
        <v>46</v>
      </c>
      <c r="G62" s="2"/>
    </row>
    <row r="64" customFormat="false" ht="15" hidden="false" customHeight="false" outlineLevel="0" collapsed="false">
      <c r="A64" s="13" t="s">
        <v>107</v>
      </c>
      <c r="B64" s="14"/>
      <c r="C64" s="14"/>
      <c r="D64" s="14"/>
      <c r="E64" s="14"/>
      <c r="F64" s="14"/>
      <c r="G64" s="14"/>
    </row>
    <row r="65" customFormat="false" ht="15" hidden="false" customHeight="false" outlineLevel="0" collapsed="false">
      <c r="A65" s="4" t="s">
        <v>108</v>
      </c>
      <c r="B65" s="15" t="n">
        <v>800</v>
      </c>
      <c r="C65" s="15" t="n">
        <v>1200</v>
      </c>
      <c r="D65" s="15" t="n">
        <v>2000</v>
      </c>
      <c r="E65" s="16" t="n">
        <f aca="false">INDEX($B65:$D65,1,$B$4)</f>
        <v>1200</v>
      </c>
      <c r="F65" s="2" t="s">
        <v>109</v>
      </c>
      <c r="G65" s="2"/>
    </row>
    <row r="66" customFormat="false" ht="15" hidden="false" customHeight="false" outlineLevel="0" collapsed="false">
      <c r="A66" s="4" t="s">
        <v>110</v>
      </c>
      <c r="B66" s="15" t="n">
        <v>2500</v>
      </c>
      <c r="C66" s="15" t="n">
        <v>3500</v>
      </c>
      <c r="D66" s="15" t="n">
        <v>6000</v>
      </c>
      <c r="E66" s="16" t="n">
        <f aca="false">INDEX($B66:$D66,1,$B$4)</f>
        <v>3500</v>
      </c>
      <c r="F66" s="2" t="s">
        <v>109</v>
      </c>
      <c r="G66" s="2"/>
    </row>
    <row r="67" customFormat="false" ht="15" hidden="false" customHeight="false" outlineLevel="0" collapsed="false">
      <c r="A67" s="4" t="s">
        <v>111</v>
      </c>
      <c r="B67" s="15" t="n">
        <v>4000</v>
      </c>
      <c r="C67" s="15" t="n">
        <v>6000</v>
      </c>
      <c r="D67" s="15" t="n">
        <v>10000</v>
      </c>
      <c r="E67" s="16" t="n">
        <f aca="false">INDEX($B67:$D67,1,$B$4)</f>
        <v>6000</v>
      </c>
      <c r="F67" s="2" t="s">
        <v>109</v>
      </c>
      <c r="G67" s="2" t="s">
        <v>112</v>
      </c>
    </row>
    <row r="68" customFormat="false" ht="15" hidden="false" customHeight="false" outlineLevel="0" collapsed="false">
      <c r="A68" s="4" t="s">
        <v>113</v>
      </c>
      <c r="B68" s="17" t="n">
        <v>45</v>
      </c>
      <c r="C68" s="17" t="n">
        <v>55</v>
      </c>
      <c r="D68" s="17" t="n">
        <v>79</v>
      </c>
      <c r="E68" s="18" t="n">
        <f aca="false">INDEX($B68:$D68,1,$B$4)</f>
        <v>55</v>
      </c>
      <c r="F68" s="2" t="s">
        <v>43</v>
      </c>
      <c r="G68" s="2" t="s">
        <v>114</v>
      </c>
    </row>
    <row r="69" customFormat="false" ht="15" hidden="false" customHeight="false" outlineLevel="0" collapsed="false">
      <c r="A69" s="4" t="s">
        <v>115</v>
      </c>
      <c r="B69" s="17" t="n">
        <v>24</v>
      </c>
      <c r="C69" s="17" t="n">
        <v>24</v>
      </c>
      <c r="D69" s="17" t="n">
        <v>24</v>
      </c>
      <c r="E69" s="18" t="n">
        <f aca="false">INDEX($B69:$D69,1,$B$4)</f>
        <v>24</v>
      </c>
      <c r="F69" s="2" t="s">
        <v>43</v>
      </c>
      <c r="G69" s="2" t="s">
        <v>116</v>
      </c>
    </row>
    <row r="70" customFormat="false" ht="15" hidden="false" customHeight="false" outlineLevel="0" collapsed="false">
      <c r="A70" s="4" t="s">
        <v>76</v>
      </c>
      <c r="B70" s="15" t="n">
        <v>400</v>
      </c>
      <c r="C70" s="15" t="n">
        <v>400</v>
      </c>
      <c r="D70" s="15" t="n">
        <v>400</v>
      </c>
      <c r="E70" s="16" t="n">
        <f aca="false">INDEX($B70:$D70,1,$B$4)</f>
        <v>400</v>
      </c>
      <c r="F70" s="2" t="s">
        <v>46</v>
      </c>
      <c r="G70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9" t="s">
        <v>120</v>
      </c>
      <c r="B4" s="21" t="n">
        <v>1.25</v>
      </c>
      <c r="C4" s="2" t="s">
        <v>121</v>
      </c>
    </row>
    <row r="5" customFormat="false" ht="15" hidden="false" customHeight="false" outlineLevel="0" collapsed="false">
      <c r="A5" s="9" t="s">
        <v>122</v>
      </c>
      <c r="B5" s="22" t="n">
        <v>1</v>
      </c>
      <c r="C5" s="2" t="s">
        <v>123</v>
      </c>
    </row>
    <row r="6" customFormat="false" ht="15" hidden="false" customHeight="false" outlineLevel="0" collapsed="false">
      <c r="A6" s="9" t="s">
        <v>124</v>
      </c>
      <c r="B6" s="22" t="n">
        <v>0.4</v>
      </c>
      <c r="C6" s="2" t="s">
        <v>125</v>
      </c>
    </row>
    <row r="8" customFormat="false" ht="15" hidden="false" customHeight="false" outlineLevel="0" collapsed="false">
      <c r="A8" s="23" t="s">
        <v>126</v>
      </c>
      <c r="B8" s="23" t="s">
        <v>127</v>
      </c>
      <c r="C8" s="23" t="s">
        <v>128</v>
      </c>
      <c r="D8" s="23" t="s">
        <v>129</v>
      </c>
      <c r="E8" s="23" t="s">
        <v>130</v>
      </c>
      <c r="F8" s="23" t="s">
        <v>131</v>
      </c>
      <c r="G8" s="23" t="s">
        <v>132</v>
      </c>
      <c r="H8" s="23" t="s">
        <v>133</v>
      </c>
    </row>
    <row r="9" customFormat="false" ht="15" hidden="false" customHeight="false" outlineLevel="0" collapsed="false">
      <c r="A9" s="4" t="s">
        <v>32</v>
      </c>
      <c r="B9" s="24" t="n">
        <v>1</v>
      </c>
      <c r="C9" s="25" t="n">
        <f aca="false">'P1 DMO'!B10*$B9</f>
        <v>36000</v>
      </c>
      <c r="D9" s="25" t="n">
        <f aca="false">'P1 DMO'!C10*$B9</f>
        <v>144000</v>
      </c>
      <c r="E9" s="25" t="n">
        <f aca="false">'P1 DMO'!D10*$B9</f>
        <v>324000</v>
      </c>
      <c r="F9" s="25" t="n">
        <f aca="false">'P1 DMO'!D15*$B9</f>
        <v>297000</v>
      </c>
      <c r="G9" s="26" t="n">
        <f aca="false">IF(E9=0,0,F9/E9)</f>
        <v>0.916666666666667</v>
      </c>
      <c r="H9" s="27" t="n">
        <f aca="false">'P1 DMO'!D19*$B9</f>
        <v>1.13333333333333</v>
      </c>
    </row>
    <row r="10" customFormat="false" ht="15" hidden="false" customHeight="false" outlineLevel="0" collapsed="false">
      <c r="A10" s="4" t="s">
        <v>50</v>
      </c>
      <c r="B10" s="24" t="n">
        <v>1</v>
      </c>
      <c r="C10" s="25" t="n">
        <f aca="false">'P2 RevShare'!B11*$B10</f>
        <v>0</v>
      </c>
      <c r="D10" s="25" t="n">
        <f aca="false">'P2 RevShare'!C11*$B10</f>
        <v>60000</v>
      </c>
      <c r="E10" s="25" t="n">
        <f aca="false">'P2 RevShare'!D11*$B10</f>
        <v>120000</v>
      </c>
      <c r="F10" s="25" t="n">
        <f aca="false">'P2 RevShare'!D15*$B10</f>
        <v>100000</v>
      </c>
      <c r="G10" s="26" t="n">
        <f aca="false">IF(E10=0,0,F10/E10)</f>
        <v>0.833333333333333</v>
      </c>
      <c r="H10" s="27" t="n">
        <f aca="false">'P2 RevShare'!D19*$B10</f>
        <v>0.333333333333333</v>
      </c>
    </row>
    <row r="11" customFormat="false" ht="15" hidden="false" customHeight="false" outlineLevel="0" collapsed="false">
      <c r="A11" s="4" t="s">
        <v>63</v>
      </c>
      <c r="B11" s="24" t="n">
        <v>1</v>
      </c>
      <c r="C11" s="25" t="n">
        <f aca="false">'P3 Bookings'!B11*$B11</f>
        <v>21778.625</v>
      </c>
      <c r="D11" s="25" t="n">
        <f aca="false">'P3 Bookings'!C11*$B11</f>
        <v>96265.4</v>
      </c>
      <c r="E11" s="25" t="n">
        <f aca="false">'P3 Bookings'!D11*$B11</f>
        <v>189273.7</v>
      </c>
      <c r="F11" s="25" t="n">
        <f aca="false">'P3 Bookings'!D15*$B11</f>
        <v>189273.7</v>
      </c>
      <c r="G11" s="26" t="n">
        <f aca="false">IF(E11=0,0,F11/E11)</f>
        <v>1</v>
      </c>
      <c r="H11" s="27" t="n">
        <f aca="false">'P3 Bookings'!D19*$B11</f>
        <v>0.0444444444444444</v>
      </c>
    </row>
    <row r="12" customFormat="false" ht="15" hidden="false" customHeight="false" outlineLevel="0" collapsed="false">
      <c r="A12" s="4" t="s">
        <v>77</v>
      </c>
      <c r="B12" s="24" t="n">
        <v>1</v>
      </c>
      <c r="C12" s="25" t="n">
        <f aca="false">'P4 Group'!B9*$B12</f>
        <v>54000</v>
      </c>
      <c r="D12" s="25" t="n">
        <f aca="false">'P4 Group'!C9*$B12</f>
        <v>135000</v>
      </c>
      <c r="E12" s="25" t="n">
        <f aca="false">'P4 Group'!D9*$B12</f>
        <v>202500</v>
      </c>
      <c r="F12" s="25" t="n">
        <f aca="false">'P4 Group'!D14*$B12</f>
        <v>128250</v>
      </c>
      <c r="G12" s="26" t="n">
        <f aca="false">IF(E12=0,0,F12/E12)</f>
        <v>0.633333333333333</v>
      </c>
      <c r="H12" s="27" t="n">
        <f aca="false">'P4 Group'!D18*$B12</f>
        <v>0.716666666666667</v>
      </c>
    </row>
    <row r="13" customFormat="false" ht="15" hidden="false" customHeight="false" outlineLevel="0" collapsed="false">
      <c r="A13" s="4" t="s">
        <v>134</v>
      </c>
      <c r="B13" s="24" t="n">
        <v>1</v>
      </c>
      <c r="C13" s="25" t="n">
        <f aca="false">'P5 Data'!B10*$B13</f>
        <v>0</v>
      </c>
      <c r="D13" s="25" t="n">
        <f aca="false">'P5 Data'!C10*$B13</f>
        <v>18000</v>
      </c>
      <c r="E13" s="25" t="n">
        <f aca="false">'P5 Data'!D10*$B13</f>
        <v>90000</v>
      </c>
      <c r="F13" s="25" t="n">
        <f aca="false">'P5 Data'!D14*$B13</f>
        <v>75000</v>
      </c>
      <c r="G13" s="26" t="n">
        <f aca="false">IF(E13=0,0,F13/E13)</f>
        <v>0.833333333333333</v>
      </c>
      <c r="H13" s="27" t="n">
        <f aca="false">'P5 Data'!D18*$B13</f>
        <v>0.555555555555556</v>
      </c>
    </row>
    <row r="14" customFormat="false" ht="15" hidden="false" customHeight="false" outlineLevel="0" collapsed="false">
      <c r="A14" s="4" t="s">
        <v>97</v>
      </c>
      <c r="B14" s="24" t="n">
        <v>1</v>
      </c>
      <c r="C14" s="25" t="n">
        <f aca="false">'P6 Creator'!B9*$B14</f>
        <v>24000</v>
      </c>
      <c r="D14" s="25" t="n">
        <f aca="false">'P6 Creator'!C9*$B14</f>
        <v>48000</v>
      </c>
      <c r="E14" s="25" t="n">
        <f aca="false">'P6 Creator'!D9*$B14</f>
        <v>72000</v>
      </c>
      <c r="F14" s="25" t="n">
        <f aca="false">'P6 Creator'!D13*$B14</f>
        <v>43200</v>
      </c>
      <c r="G14" s="26" t="n">
        <f aca="false">IF(E14=0,0,F14/E14)</f>
        <v>0.6</v>
      </c>
      <c r="H14" s="27" t="n">
        <f aca="false">'P6 Creator'!D17*$B14</f>
        <v>0.333333333333333</v>
      </c>
    </row>
    <row r="15" customFormat="false" ht="15" hidden="false" customHeight="false" outlineLevel="0" collapsed="false">
      <c r="A15" s="4" t="s">
        <v>107</v>
      </c>
      <c r="B15" s="24" t="n">
        <v>1</v>
      </c>
      <c r="C15" s="25" t="n">
        <f aca="false">'P7 Membership'!B10*$B15</f>
        <v>33000</v>
      </c>
      <c r="D15" s="25" t="n">
        <f aca="false">'P7 Membership'!C10*$B15</f>
        <v>129250</v>
      </c>
      <c r="E15" s="25" t="n">
        <f aca="false">'P7 Membership'!D10*$B15</f>
        <v>261250</v>
      </c>
      <c r="F15" s="25" t="n">
        <f aca="false">'P7 Membership'!D14*$B15</f>
        <v>147250</v>
      </c>
      <c r="G15" s="26" t="n">
        <f aca="false">IF(E15=0,0,F15/E15)</f>
        <v>0.563636363636364</v>
      </c>
      <c r="H15" s="27" t="n">
        <f aca="false">'P7 Membership'!D18*$B15</f>
        <v>0.222222222222222</v>
      </c>
    </row>
    <row r="16" customFormat="false" ht="15" hidden="false" customHeight="false" outlineLevel="0" collapsed="false">
      <c r="A16" s="11" t="s">
        <v>135</v>
      </c>
      <c r="C16" s="18" t="n">
        <f aca="false">SUM(C9:C15)</f>
        <v>168778.625</v>
      </c>
      <c r="D16" s="18" t="n">
        <f aca="false">SUM(D9:D15)</f>
        <v>630515.4</v>
      </c>
      <c r="E16" s="18" t="n">
        <f aca="false">SUM(E9:E15)</f>
        <v>1259023.7</v>
      </c>
      <c r="F16" s="18" t="n">
        <f aca="false">SUM(F9:F15)</f>
        <v>979973.7</v>
      </c>
      <c r="G16" s="20" t="n">
        <f aca="false">IF(E16=0,0,F16/E16)</f>
        <v>0.778360010220618</v>
      </c>
      <c r="H16" s="28" t="n">
        <f aca="false">SUM(H9:H15)</f>
        <v>3.33888888888889</v>
      </c>
    </row>
    <row r="18" customFormat="false" ht="15" hidden="false" customHeight="false" outlineLevel="0" collapsed="false">
      <c r="A18" s="4" t="s">
        <v>136</v>
      </c>
      <c r="C18" s="29" t="n">
        <f aca="false">-IF(AND($B$10=1,$B$11=1),MIN('P2 RevShare'!B11,'P3 Bookings'!B11)*$B$5,0)</f>
        <v>-0</v>
      </c>
      <c r="D18" s="29" t="n">
        <f aca="false">-IF(AND($B$10=1,$B$11=1),MIN('P2 RevShare'!C11,'P3 Bookings'!C11)*$B$5,0)</f>
        <v>-60000</v>
      </c>
      <c r="E18" s="29" t="n">
        <f aca="false">-IF(AND($B$10=1,$B$11=1),MIN('P2 RevShare'!D11,'P3 Bookings'!D11)*$B$5,0)</f>
        <v>-120000</v>
      </c>
    </row>
    <row r="19" customFormat="false" ht="15" hidden="false" customHeight="false" outlineLevel="0" collapsed="false">
      <c r="A19" s="4" t="s">
        <v>137</v>
      </c>
      <c r="C19" s="29" t="n">
        <f aca="false">-IF(AND($B$9=1,$B$13=1),'P5 Data'!B10*$B$6,0)</f>
        <v>-0</v>
      </c>
      <c r="D19" s="29" t="n">
        <f aca="false">-IF(AND($B$9=1,$B$13=1),'P5 Data'!C10*$B$6,0)</f>
        <v>-7200</v>
      </c>
      <c r="E19" s="29" t="n">
        <f aca="false">-IF(AND($B$9=1,$B$13=1),'P5 Data'!D10*$B$6,0)</f>
        <v>-36000</v>
      </c>
    </row>
    <row r="20" customFormat="false" ht="15" hidden="false" customHeight="false" outlineLevel="0" collapsed="false">
      <c r="A20" s="11" t="s">
        <v>138</v>
      </c>
      <c r="C20" s="18" t="n">
        <f aca="false">C16+C18+C19</f>
        <v>168778.625</v>
      </c>
      <c r="D20" s="18" t="n">
        <f aca="false">D16+D18+D19</f>
        <v>563315.4</v>
      </c>
      <c r="E20" s="18" t="n">
        <f aca="false">E16+E18+E19</f>
        <v>1103023.7</v>
      </c>
    </row>
    <row r="22" customFormat="false" ht="15" hidden="false" customHeight="false" outlineLevel="0" collapsed="false">
      <c r="A22" s="13" t="s">
        <v>139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4" t="s">
        <v>140</v>
      </c>
      <c r="C23" s="30" t="n">
        <f aca="false">H16</f>
        <v>3.33888888888889</v>
      </c>
    </row>
    <row r="24" customFormat="false" ht="15" hidden="false" customHeight="false" outlineLevel="0" collapsed="false">
      <c r="A24" s="4" t="s">
        <v>141</v>
      </c>
      <c r="C24" s="27" t="n">
        <f aca="false">$B$4</f>
        <v>1.25</v>
      </c>
    </row>
    <row r="25" customFormat="false" ht="15" hidden="false" customHeight="false" outlineLevel="0" collapsed="false">
      <c r="A25" s="11" t="s">
        <v>142</v>
      </c>
      <c r="C25" s="28" t="n">
        <f aca="false">C24-C23</f>
        <v>-2.08888888888889</v>
      </c>
    </row>
    <row r="26" customFormat="false" ht="15" hidden="false" customHeight="false" outlineLevel="0" collapsed="false">
      <c r="A26" s="11" t="s">
        <v>143</v>
      </c>
      <c r="C26" s="8" t="str">
        <f aca="false">IF(C25&gt;=0,"STAFFABLE","NOT STAFFABLE - turn paths off or hire")</f>
        <v>NOT STAFFABLE - turn paths off or hire</v>
      </c>
    </row>
    <row r="28" customFormat="false" ht="15" hidden="false" customHeight="false" outlineLevel="0" collapsed="false">
      <c r="A28" s="13" t="s">
        <v>144</v>
      </c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4" t="s">
        <v>145</v>
      </c>
      <c r="C29" s="17" t="n">
        <v>8150000</v>
      </c>
    </row>
    <row r="30" customFormat="false" ht="15" hidden="false" customHeight="false" outlineLevel="0" collapsed="false">
      <c r="A30" s="4" t="s">
        <v>146</v>
      </c>
      <c r="C30" s="31" t="n">
        <f aca="false">E20</f>
        <v>1103023.7</v>
      </c>
    </row>
    <row r="31" customFormat="false" ht="15" hidden="false" customHeight="false" outlineLevel="0" collapsed="false">
      <c r="A31" s="11" t="s">
        <v>147</v>
      </c>
      <c r="C31" s="32" t="n">
        <f aca="false">IF(C30=0,0,C29/C30)</f>
        <v>7.388780494925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154</v>
      </c>
      <c r="B6" s="34" t="n">
        <f aca="false">Drivers!$E$8</f>
        <v>2</v>
      </c>
      <c r="C6" s="34" t="n">
        <f aca="false">Drivers!$E$9</f>
        <v>6</v>
      </c>
      <c r="D6" s="34" t="n">
        <f aca="false">Drivers!$E$10</f>
        <v>12</v>
      </c>
    </row>
    <row r="7" customFormat="false" ht="15" hidden="false" customHeight="false" outlineLevel="0" collapsed="false">
      <c r="A7" s="4" t="s">
        <v>155</v>
      </c>
      <c r="B7" s="35" t="n">
        <f aca="false">(0+B6)/2</f>
        <v>1</v>
      </c>
      <c r="C7" s="35" t="n">
        <f aca="false">(B6+C6)/2</f>
        <v>4</v>
      </c>
      <c r="D7" s="35" t="n">
        <f aca="false">(C6+D6)/2</f>
        <v>9</v>
      </c>
    </row>
    <row r="9" customFormat="false" ht="15" hidden="false" customHeight="false" outlineLevel="0" collapsed="false">
      <c r="A9" s="13" t="s">
        <v>156</v>
      </c>
      <c r="B9" s="14"/>
      <c r="C9" s="14"/>
      <c r="D9" s="14"/>
    </row>
    <row r="10" customFormat="false" ht="15" hidden="false" customHeight="false" outlineLevel="0" collapsed="false">
      <c r="A10" s="11" t="s">
        <v>157</v>
      </c>
      <c r="B10" s="18" t="n">
        <f aca="false">B7*Drivers!$E$11*12</f>
        <v>36000</v>
      </c>
      <c r="C10" s="18" t="n">
        <f aca="false">C7*Drivers!$E$11*12</f>
        <v>144000</v>
      </c>
      <c r="D10" s="18" t="n">
        <f aca="false">D7*Drivers!$E$11*12</f>
        <v>324000</v>
      </c>
    </row>
    <row r="12" customFormat="false" ht="15" hidden="false" customHeight="false" outlineLevel="0" collapsed="false">
      <c r="A12" s="13" t="s">
        <v>158</v>
      </c>
      <c r="B12" s="14"/>
      <c r="C12" s="14"/>
      <c r="D12" s="14"/>
    </row>
    <row r="13" customFormat="false" ht="15" hidden="false" customHeight="false" outlineLevel="0" collapsed="false">
      <c r="A13" s="4" t="s">
        <v>159</v>
      </c>
      <c r="B13" s="29" t="n">
        <f aca="false">-B7*Drivers!$E$12*12</f>
        <v>-3000</v>
      </c>
      <c r="C13" s="29" t="n">
        <f aca="false">-C7*Drivers!$E$12*12</f>
        <v>-12000</v>
      </c>
      <c r="D13" s="29" t="n">
        <f aca="false">-D7*Drivers!$E$12*12</f>
        <v>-27000</v>
      </c>
    </row>
    <row r="14" customFormat="false" ht="15" hidden="false" customHeight="false" outlineLevel="0" collapsed="false">
      <c r="A14" s="4" t="s">
        <v>160</v>
      </c>
      <c r="B14" s="29" t="n">
        <f aca="false">-Drivers!$E$13</f>
        <v>-60000</v>
      </c>
      <c r="C14" s="29" t="n">
        <f aca="false">0</f>
        <v>0</v>
      </c>
      <c r="D14" s="29" t="n">
        <f aca="false">0</f>
        <v>0</v>
      </c>
    </row>
    <row r="15" customFormat="false" ht="15" hidden="false" customHeight="false" outlineLevel="0" collapsed="false">
      <c r="A15" s="11" t="s">
        <v>161</v>
      </c>
      <c r="B15" s="18" t="n">
        <f aca="false">B10+B13+B14</f>
        <v>-27000</v>
      </c>
      <c r="C15" s="18" t="n">
        <f aca="false">C10+C13+C14</f>
        <v>132000</v>
      </c>
      <c r="D15" s="18" t="n">
        <f aca="false">D10+D13+D14</f>
        <v>297000</v>
      </c>
    </row>
    <row r="16" customFormat="false" ht="15" hidden="false" customHeight="false" outlineLevel="0" collapsed="false">
      <c r="A16" s="4" t="s">
        <v>162</v>
      </c>
      <c r="B16" s="26" t="n">
        <f aca="false">IF(B10=0,0,B15/B10)</f>
        <v>-0.75</v>
      </c>
      <c r="C16" s="26" t="n">
        <f aca="false">IF(C10=0,0,C15/C10)</f>
        <v>0.916666666666667</v>
      </c>
      <c r="D16" s="26" t="n">
        <f aca="false">IF(D10=0,0,D15/D10)</f>
        <v>0.916666666666667</v>
      </c>
    </row>
    <row r="18" customFormat="false" ht="15" hidden="false" customHeight="false" outlineLevel="0" collapsed="false">
      <c r="A18" s="13" t="s">
        <v>163</v>
      </c>
      <c r="B18" s="14"/>
      <c r="C18" s="14"/>
      <c r="D18" s="14"/>
    </row>
    <row r="19" customFormat="false" ht="15" hidden="false" customHeight="false" outlineLevel="0" collapsed="false">
      <c r="A19" s="4" t="s">
        <v>164</v>
      </c>
      <c r="B19" s="36" t="n">
        <f aca="false">(B6*Drivers!$E$14+Drivers!$E$15)/1800</f>
        <v>0.466666666666667</v>
      </c>
      <c r="C19" s="36" t="n">
        <f aca="false">(C6*Drivers!$E$14+Drivers!$E$15)/1800</f>
        <v>0.733333333333333</v>
      </c>
      <c r="D19" s="36" t="n">
        <f aca="false">(D6*Drivers!$E$14+Drivers!$E$15)/1800</f>
        <v>1.13333333333333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167</v>
      </c>
      <c r="B6" s="34" t="n">
        <f aca="false">Drivers!$E$18</f>
        <v>0</v>
      </c>
      <c r="C6" s="34" t="n">
        <f aca="false">Drivers!$E$19</f>
        <v>1</v>
      </c>
      <c r="D6" s="34" t="n">
        <f aca="false">Drivers!$E$20</f>
        <v>2</v>
      </c>
    </row>
    <row r="7" customFormat="false" ht="15" hidden="false" customHeight="false" outlineLevel="0" collapsed="false">
      <c r="A7" s="4" t="s">
        <v>168</v>
      </c>
      <c r="B7" s="29" t="n">
        <f aca="false">B6*Drivers!$E$21</f>
        <v>0</v>
      </c>
      <c r="C7" s="29" t="n">
        <f aca="false">C6*Drivers!$E$21</f>
        <v>2000000</v>
      </c>
      <c r="D7" s="29" t="n">
        <f aca="false">D6*Drivers!$E$21</f>
        <v>4000000</v>
      </c>
    </row>
    <row r="8" customFormat="false" ht="15" hidden="false" customHeight="false" outlineLevel="0" collapsed="false">
      <c r="A8" s="4" t="s">
        <v>169</v>
      </c>
      <c r="B8" s="29" t="n">
        <f aca="false">B7*Drivers!$E$22</f>
        <v>0</v>
      </c>
      <c r="C8" s="29" t="n">
        <f aca="false">C7*Drivers!$E$22</f>
        <v>600000</v>
      </c>
      <c r="D8" s="29" t="n">
        <f aca="false">D7*Drivers!$E$22</f>
        <v>1200000</v>
      </c>
    </row>
    <row r="10" customFormat="false" ht="15" hidden="false" customHeight="false" outlineLevel="0" collapsed="false">
      <c r="A10" s="13" t="s">
        <v>156</v>
      </c>
      <c r="B10" s="14"/>
      <c r="C10" s="14"/>
      <c r="D10" s="14"/>
    </row>
    <row r="11" customFormat="false" ht="15" hidden="false" customHeight="false" outlineLevel="0" collapsed="false">
      <c r="A11" s="11" t="s">
        <v>170</v>
      </c>
      <c r="B11" s="18" t="n">
        <f aca="false">B8*Drivers!$E$23</f>
        <v>0</v>
      </c>
      <c r="C11" s="18" t="n">
        <f aca="false">C8*Drivers!$E$23</f>
        <v>60000</v>
      </c>
      <c r="D11" s="18" t="n">
        <f aca="false">D8*Drivers!$E$23</f>
        <v>120000</v>
      </c>
    </row>
    <row r="13" customFormat="false" ht="15" hidden="false" customHeight="false" outlineLevel="0" collapsed="false">
      <c r="A13" s="13" t="s">
        <v>158</v>
      </c>
      <c r="B13" s="14"/>
      <c r="C13" s="14"/>
      <c r="D13" s="14"/>
    </row>
    <row r="14" customFormat="false" ht="15" hidden="false" customHeight="false" outlineLevel="0" collapsed="false">
      <c r="A14" s="4" t="s">
        <v>171</v>
      </c>
      <c r="B14" s="29" t="n">
        <f aca="false">IF(B6&gt;0,-Drivers!$E$24,0)</f>
        <v>0</v>
      </c>
      <c r="C14" s="29" t="n">
        <f aca="false">IF(C6&gt;0,-Drivers!$E$24,0)</f>
        <v>-20000</v>
      </c>
      <c r="D14" s="29" t="n">
        <f aca="false">IF(D6&gt;0,-Drivers!$E$24,0)</f>
        <v>-20000</v>
      </c>
    </row>
    <row r="15" customFormat="false" ht="15" hidden="false" customHeight="false" outlineLevel="0" collapsed="false">
      <c r="A15" s="11" t="s">
        <v>161</v>
      </c>
      <c r="B15" s="18" t="n">
        <f aca="false">B11+B14</f>
        <v>0</v>
      </c>
      <c r="C15" s="18" t="n">
        <f aca="false">C11+C14</f>
        <v>40000</v>
      </c>
      <c r="D15" s="18" t="n">
        <f aca="false">D11+D14</f>
        <v>100000</v>
      </c>
    </row>
    <row r="16" customFormat="false" ht="15" hidden="false" customHeight="false" outlineLevel="0" collapsed="false">
      <c r="A16" s="4" t="s">
        <v>162</v>
      </c>
      <c r="B16" s="26" t="n">
        <f aca="false">IF(B11=0,0,B15/B11)</f>
        <v>0</v>
      </c>
      <c r="C16" s="26" t="n">
        <f aca="false">IF(C11=0,0,C15/C11)</f>
        <v>0.666666666666667</v>
      </c>
      <c r="D16" s="26" t="n">
        <f aca="false">IF(D11=0,0,D15/D11)</f>
        <v>0.833333333333333</v>
      </c>
    </row>
    <row r="18" customFormat="false" ht="15" hidden="false" customHeight="false" outlineLevel="0" collapsed="false">
      <c r="A18" s="13" t="s">
        <v>163</v>
      </c>
      <c r="B18" s="14"/>
      <c r="C18" s="14"/>
      <c r="D18" s="14"/>
    </row>
    <row r="19" customFormat="false" ht="15" hidden="false" customHeight="false" outlineLevel="0" collapsed="false">
      <c r="A19" s="4" t="s">
        <v>164</v>
      </c>
      <c r="B19" s="36" t="n">
        <f aca="false">B6*Drivers!$E$25/1800</f>
        <v>0</v>
      </c>
      <c r="C19" s="36" t="n">
        <f aca="false">C6*Drivers!$E$25/1800</f>
        <v>0.166666666666667</v>
      </c>
      <c r="D19" s="36" t="n">
        <f aca="false">D6*Drivers!$E$25/1800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174</v>
      </c>
      <c r="B6" s="34" t="n">
        <f aca="false">Drivers!$E$28</f>
        <v>1685</v>
      </c>
      <c r="C6" s="34" t="n">
        <f aca="false">Drivers!$E$29</f>
        <v>7448</v>
      </c>
      <c r="D6" s="34" t="n">
        <f aca="false">Drivers!$E$30</f>
        <v>14644</v>
      </c>
    </row>
    <row r="7" customFormat="false" ht="15" hidden="false" customHeight="false" outlineLevel="0" collapsed="false">
      <c r="A7" s="4" t="s">
        <v>175</v>
      </c>
      <c r="B7" s="34" t="n">
        <f aca="false">B6*Drivers!$E$31</f>
        <v>421.25</v>
      </c>
      <c r="C7" s="34" t="n">
        <f aca="false">C6*Drivers!$E$31</f>
        <v>1862</v>
      </c>
      <c r="D7" s="34" t="n">
        <f aca="false">D6*Drivers!$E$31</f>
        <v>3661</v>
      </c>
    </row>
    <row r="8" customFormat="false" ht="15" hidden="false" customHeight="false" outlineLevel="0" collapsed="false">
      <c r="A8" s="4" t="s">
        <v>176</v>
      </c>
      <c r="B8" s="29" t="n">
        <f aca="false">B7*Drivers!$E$32</f>
        <v>395975</v>
      </c>
      <c r="C8" s="29" t="n">
        <f aca="false">C7*Drivers!$E$32</f>
        <v>1750280</v>
      </c>
      <c r="D8" s="29" t="n">
        <f aca="false">D7*Drivers!$E$32</f>
        <v>3441340</v>
      </c>
    </row>
    <row r="10" customFormat="false" ht="15" hidden="false" customHeight="false" outlineLevel="0" collapsed="false">
      <c r="A10" s="13" t="s">
        <v>156</v>
      </c>
      <c r="B10" s="14"/>
      <c r="C10" s="14"/>
      <c r="D10" s="14"/>
    </row>
    <row r="11" customFormat="false" ht="15" hidden="false" customHeight="false" outlineLevel="0" collapsed="false">
      <c r="A11" s="11" t="s">
        <v>177</v>
      </c>
      <c r="B11" s="18" t="n">
        <f aca="false">B8*Drivers!$E$33</f>
        <v>21778.625</v>
      </c>
      <c r="C11" s="18" t="n">
        <f aca="false">C8*Drivers!$E$33</f>
        <v>96265.4</v>
      </c>
      <c r="D11" s="18" t="n">
        <f aca="false">D8*Drivers!$E$33</f>
        <v>189273.7</v>
      </c>
    </row>
    <row r="13" customFormat="false" ht="15" hidden="false" customHeight="false" outlineLevel="0" collapsed="false">
      <c r="A13" s="13" t="s">
        <v>158</v>
      </c>
      <c r="B13" s="14"/>
      <c r="C13" s="14"/>
      <c r="D13" s="14"/>
    </row>
    <row r="14" customFormat="false" ht="15" hidden="false" customHeight="false" outlineLevel="0" collapsed="false">
      <c r="A14" s="4" t="s">
        <v>178</v>
      </c>
      <c r="B14" s="29" t="n">
        <f aca="false">-Drivers!$E$34</f>
        <v>-2000</v>
      </c>
      <c r="C14" s="29" t="n">
        <f aca="false">0</f>
        <v>0</v>
      </c>
      <c r="D14" s="29" t="n">
        <f aca="false">0</f>
        <v>0</v>
      </c>
    </row>
    <row r="15" customFormat="false" ht="15" hidden="false" customHeight="false" outlineLevel="0" collapsed="false">
      <c r="A15" s="11" t="s">
        <v>161</v>
      </c>
      <c r="B15" s="18" t="n">
        <f aca="false">B11+B14</f>
        <v>19778.625</v>
      </c>
      <c r="C15" s="18" t="n">
        <f aca="false">C11+C14</f>
        <v>96265.4</v>
      </c>
      <c r="D15" s="18" t="n">
        <f aca="false">D11+D14</f>
        <v>189273.7</v>
      </c>
    </row>
    <row r="16" customFormat="false" ht="15" hidden="false" customHeight="false" outlineLevel="0" collapsed="false">
      <c r="A16" s="4" t="s">
        <v>162</v>
      </c>
      <c r="B16" s="26" t="n">
        <f aca="false">IF(B11=0,0,B15/B11)</f>
        <v>0.90816683789725</v>
      </c>
      <c r="C16" s="26" t="n">
        <f aca="false">IF(C11=0,0,C15/C11)</f>
        <v>1</v>
      </c>
      <c r="D16" s="26" t="n">
        <f aca="false">IF(D11=0,0,D15/D11)</f>
        <v>1</v>
      </c>
    </row>
    <row r="18" customFormat="false" ht="15" hidden="false" customHeight="false" outlineLevel="0" collapsed="false">
      <c r="A18" s="13" t="s">
        <v>163</v>
      </c>
      <c r="B18" s="14"/>
      <c r="C18" s="14"/>
      <c r="D18" s="14"/>
    </row>
    <row r="19" customFormat="false" ht="15" hidden="false" customHeight="false" outlineLevel="0" collapsed="false">
      <c r="A19" s="4" t="s">
        <v>164</v>
      </c>
      <c r="B19" s="36" t="n">
        <f aca="false">Drivers!$E$35/1800</f>
        <v>0.0444444444444444</v>
      </c>
      <c r="C19" s="36" t="n">
        <f aca="false">Drivers!$E$35/1800</f>
        <v>0.0444444444444444</v>
      </c>
      <c r="D19" s="36" t="n">
        <f aca="false">Drivers!$E$35/1800</f>
        <v>0.0444444444444444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179</v>
      </c>
    </row>
    <row r="2" customFormat="false" ht="15" hidden="false" customHeight="false" outlineLevel="0" collapsed="false">
      <c r="A2" s="2" t="s">
        <v>180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181</v>
      </c>
      <c r="B6" s="34" t="n">
        <f aca="false">Drivers!$E$38</f>
        <v>12</v>
      </c>
      <c r="C6" s="34" t="n">
        <f aca="false">Drivers!$E$39</f>
        <v>30</v>
      </c>
      <c r="D6" s="34" t="n">
        <f aca="false">Drivers!$E$40</f>
        <v>45</v>
      </c>
    </row>
    <row r="8" customFormat="false" ht="15" hidden="false" customHeight="false" outlineLevel="0" collapsed="false">
      <c r="A8" s="13" t="s">
        <v>156</v>
      </c>
      <c r="B8" s="14"/>
      <c r="C8" s="14"/>
      <c r="D8" s="14"/>
    </row>
    <row r="9" customFormat="false" ht="15" hidden="false" customHeight="false" outlineLevel="0" collapsed="false">
      <c r="A9" s="11" t="s">
        <v>182</v>
      </c>
      <c r="B9" s="18" t="n">
        <f aca="false">B6*Drivers!$E$41</f>
        <v>54000</v>
      </c>
      <c r="C9" s="18" t="n">
        <f aca="false">C6*Drivers!$E$41</f>
        <v>135000</v>
      </c>
      <c r="D9" s="18" t="n">
        <f aca="false">D6*Drivers!$E$41</f>
        <v>202500</v>
      </c>
    </row>
    <row r="11" customFormat="false" ht="15" hidden="false" customHeight="false" outlineLevel="0" collapsed="false">
      <c r="A11" s="13" t="s">
        <v>158</v>
      </c>
      <c r="B11" s="14"/>
      <c r="C11" s="14"/>
      <c r="D11" s="14"/>
    </row>
    <row r="12" customFormat="false" ht="15" hidden="false" customHeight="false" outlineLevel="0" collapsed="false">
      <c r="A12" s="4" t="s">
        <v>183</v>
      </c>
      <c r="B12" s="29" t="n">
        <f aca="false">-B6*Drivers!$E$42</f>
        <v>-14400</v>
      </c>
      <c r="C12" s="29" t="n">
        <f aca="false">-C6*Drivers!$E$42</f>
        <v>-36000</v>
      </c>
      <c r="D12" s="29" t="n">
        <f aca="false">-D6*Drivers!$E$42</f>
        <v>-54000</v>
      </c>
    </row>
    <row r="13" customFormat="false" ht="15" hidden="false" customHeight="false" outlineLevel="0" collapsed="false">
      <c r="A13" s="4" t="s">
        <v>184</v>
      </c>
      <c r="B13" s="29" t="n">
        <f aca="false">-B9*Drivers!$E$43</f>
        <v>-5400</v>
      </c>
      <c r="C13" s="29" t="n">
        <f aca="false">-C9*Drivers!$E$43</f>
        <v>-13500</v>
      </c>
      <c r="D13" s="29" t="n">
        <f aca="false">-D9*Drivers!$E$43</f>
        <v>-20250</v>
      </c>
    </row>
    <row r="14" customFormat="false" ht="15" hidden="false" customHeight="false" outlineLevel="0" collapsed="false">
      <c r="A14" s="11" t="s">
        <v>161</v>
      </c>
      <c r="B14" s="18" t="n">
        <f aca="false">B9+B12+B13</f>
        <v>34200</v>
      </c>
      <c r="C14" s="18" t="n">
        <f aca="false">C9+C12+C13</f>
        <v>85500</v>
      </c>
      <c r="D14" s="18" t="n">
        <f aca="false">D9+D12+D13</f>
        <v>128250</v>
      </c>
    </row>
    <row r="15" customFormat="false" ht="15" hidden="false" customHeight="false" outlineLevel="0" collapsed="false">
      <c r="A15" s="4" t="s">
        <v>162</v>
      </c>
      <c r="B15" s="26" t="n">
        <f aca="false">IF(B9=0,0,B14/B9)</f>
        <v>0.633333333333333</v>
      </c>
      <c r="C15" s="26" t="n">
        <f aca="false">IF(C9=0,0,C14/C9)</f>
        <v>0.633333333333333</v>
      </c>
      <c r="D15" s="26" t="n">
        <f aca="false">IF(D9=0,0,D14/D9)</f>
        <v>0.633333333333333</v>
      </c>
    </row>
    <row r="17" customFormat="false" ht="15" hidden="false" customHeight="false" outlineLevel="0" collapsed="false">
      <c r="A17" s="13" t="s">
        <v>163</v>
      </c>
      <c r="B17" s="14"/>
      <c r="C17" s="14"/>
      <c r="D17" s="14"/>
    </row>
    <row r="18" customFormat="false" ht="15" hidden="false" customHeight="false" outlineLevel="0" collapsed="false">
      <c r="A18" s="4" t="s">
        <v>164</v>
      </c>
      <c r="B18" s="36" t="n">
        <f aca="false">(B6*Drivers!$E$44+Drivers!$E$45)/1800</f>
        <v>0.313333333333333</v>
      </c>
      <c r="C18" s="36" t="n">
        <f aca="false">(C6*Drivers!$E$44+Drivers!$E$45)/1800</f>
        <v>0.533333333333333</v>
      </c>
      <c r="D18" s="36" t="n">
        <f aca="false">(D6*Drivers!$E$44+Drivers!$E$45)/1800</f>
        <v>0.716666666666667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154</v>
      </c>
      <c r="B6" s="34" t="n">
        <f aca="false">Drivers!$E$48</f>
        <v>0</v>
      </c>
      <c r="C6" s="34" t="n">
        <f aca="false">Drivers!$E$49</f>
        <v>2</v>
      </c>
      <c r="D6" s="34" t="n">
        <f aca="false">Drivers!$E$50</f>
        <v>8</v>
      </c>
    </row>
    <row r="7" customFormat="false" ht="15" hidden="false" customHeight="false" outlineLevel="0" collapsed="false">
      <c r="A7" s="4" t="s">
        <v>155</v>
      </c>
      <c r="B7" s="35" t="n">
        <f aca="false">(0+B6)/2</f>
        <v>0</v>
      </c>
      <c r="C7" s="35" t="n">
        <f aca="false">(B6+C6)/2</f>
        <v>1</v>
      </c>
      <c r="D7" s="35" t="n">
        <f aca="false">(C6+D6)/2</f>
        <v>5</v>
      </c>
    </row>
    <row r="9" customFormat="false" ht="15" hidden="false" customHeight="false" outlineLevel="0" collapsed="false">
      <c r="A9" s="13" t="s">
        <v>156</v>
      </c>
      <c r="B9" s="14"/>
      <c r="C9" s="14"/>
      <c r="D9" s="14"/>
    </row>
    <row r="10" customFormat="false" ht="15" hidden="false" customHeight="false" outlineLevel="0" collapsed="false">
      <c r="A10" s="11" t="s">
        <v>157</v>
      </c>
      <c r="B10" s="18" t="n">
        <f aca="false">B7*Drivers!$E$51*12</f>
        <v>0</v>
      </c>
      <c r="C10" s="18" t="n">
        <f aca="false">C7*Drivers!$E$51*12</f>
        <v>18000</v>
      </c>
      <c r="D10" s="18" t="n">
        <f aca="false">D7*Drivers!$E$51*12</f>
        <v>90000</v>
      </c>
    </row>
    <row r="12" customFormat="false" ht="15" hidden="false" customHeight="false" outlineLevel="0" collapsed="false">
      <c r="A12" s="13" t="s">
        <v>158</v>
      </c>
      <c r="B12" s="14"/>
      <c r="C12" s="14"/>
      <c r="D12" s="14"/>
    </row>
    <row r="13" customFormat="false" ht="15" hidden="false" customHeight="false" outlineLevel="0" collapsed="false">
      <c r="A13" s="4" t="s">
        <v>187</v>
      </c>
      <c r="B13" s="29" t="n">
        <f aca="false">0</f>
        <v>0</v>
      </c>
      <c r="C13" s="29" t="n">
        <f aca="false">-Drivers!$E$52</f>
        <v>-15000</v>
      </c>
      <c r="D13" s="29" t="n">
        <f aca="false">-Drivers!$E$52</f>
        <v>-15000</v>
      </c>
    </row>
    <row r="14" customFormat="false" ht="15" hidden="false" customHeight="false" outlineLevel="0" collapsed="false">
      <c r="A14" s="11" t="s">
        <v>161</v>
      </c>
      <c r="B14" s="18" t="n">
        <f aca="false">B10+B13</f>
        <v>0</v>
      </c>
      <c r="C14" s="18" t="n">
        <f aca="false">C10+C13</f>
        <v>3000</v>
      </c>
      <c r="D14" s="18" t="n">
        <f aca="false">D10+D13</f>
        <v>75000</v>
      </c>
    </row>
    <row r="15" customFormat="false" ht="15" hidden="false" customHeight="false" outlineLevel="0" collapsed="false">
      <c r="A15" s="4" t="s">
        <v>162</v>
      </c>
      <c r="B15" s="26" t="n">
        <f aca="false">IF(B10=0,0,B14/B10)</f>
        <v>0</v>
      </c>
      <c r="C15" s="26" t="n">
        <f aca="false">IF(C10=0,0,C14/C10)</f>
        <v>0.166666666666667</v>
      </c>
      <c r="D15" s="26" t="n">
        <f aca="false">IF(D10=0,0,D14/D10)</f>
        <v>0.833333333333333</v>
      </c>
    </row>
    <row r="17" customFormat="false" ht="15" hidden="false" customHeight="false" outlineLevel="0" collapsed="false">
      <c r="A17" s="13" t="s">
        <v>163</v>
      </c>
      <c r="B17" s="14"/>
      <c r="C17" s="14"/>
      <c r="D17" s="14"/>
    </row>
    <row r="18" customFormat="false" ht="15" hidden="false" customHeight="false" outlineLevel="0" collapsed="false">
      <c r="A18" s="4" t="s">
        <v>164</v>
      </c>
      <c r="B18" s="36" t="n">
        <f aca="false">(B6*Drivers!$E$53+Drivers!$E$54)/1800</f>
        <v>0.111111111111111</v>
      </c>
      <c r="C18" s="36" t="n">
        <f aca="false">(C6*Drivers!$E$53+Drivers!$E$54)/1800</f>
        <v>0.222222222222222</v>
      </c>
      <c r="D18" s="36" t="n">
        <f aca="false">(D6*Drivers!$E$53+Drivers!$E$54)/1800</f>
        <v>0.555555555555556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190</v>
      </c>
      <c r="B6" s="34" t="n">
        <f aca="false">Drivers!$E$57</f>
        <v>8</v>
      </c>
      <c r="C6" s="34" t="n">
        <f aca="false">Drivers!$E$58</f>
        <v>16</v>
      </c>
      <c r="D6" s="34" t="n">
        <f aca="false">Drivers!$E$59</f>
        <v>24</v>
      </c>
    </row>
    <row r="8" customFormat="false" ht="15" hidden="false" customHeight="false" outlineLevel="0" collapsed="false">
      <c r="A8" s="13" t="s">
        <v>156</v>
      </c>
      <c r="B8" s="14"/>
      <c r="C8" s="14"/>
      <c r="D8" s="14"/>
    </row>
    <row r="9" customFormat="false" ht="15" hidden="false" customHeight="false" outlineLevel="0" collapsed="false">
      <c r="A9" s="11" t="s">
        <v>191</v>
      </c>
      <c r="B9" s="18" t="n">
        <f aca="false">B6*Drivers!$E$60</f>
        <v>24000</v>
      </c>
      <c r="C9" s="18" t="n">
        <f aca="false">C6*Drivers!$E$60</f>
        <v>48000</v>
      </c>
      <c r="D9" s="18" t="n">
        <f aca="false">D6*Drivers!$E$60</f>
        <v>72000</v>
      </c>
    </row>
    <row r="11" customFormat="false" ht="15" hidden="false" customHeight="false" outlineLevel="0" collapsed="false">
      <c r="A11" s="13" t="s">
        <v>158</v>
      </c>
      <c r="B11" s="14"/>
      <c r="C11" s="14"/>
      <c r="D11" s="14"/>
    </row>
    <row r="12" customFormat="false" ht="15" hidden="false" customHeight="false" outlineLevel="0" collapsed="false">
      <c r="A12" s="4" t="s">
        <v>183</v>
      </c>
      <c r="B12" s="29" t="n">
        <f aca="false">-B9*Drivers!$E$61</f>
        <v>-9600</v>
      </c>
      <c r="C12" s="29" t="n">
        <f aca="false">-C9*Drivers!$E$61</f>
        <v>-19200</v>
      </c>
      <c r="D12" s="29" t="n">
        <f aca="false">-D9*Drivers!$E$61</f>
        <v>-28800</v>
      </c>
    </row>
    <row r="13" customFormat="false" ht="15" hidden="false" customHeight="false" outlineLevel="0" collapsed="false">
      <c r="A13" s="11" t="s">
        <v>161</v>
      </c>
      <c r="B13" s="18" t="n">
        <f aca="false">B9+B12</f>
        <v>14400</v>
      </c>
      <c r="C13" s="18" t="n">
        <f aca="false">C9+C12</f>
        <v>28800</v>
      </c>
      <c r="D13" s="18" t="n">
        <f aca="false">D9+D12</f>
        <v>43200</v>
      </c>
    </row>
    <row r="14" customFormat="false" ht="15" hidden="false" customHeight="false" outlineLevel="0" collapsed="false">
      <c r="A14" s="4" t="s">
        <v>162</v>
      </c>
      <c r="B14" s="26" t="n">
        <f aca="false">IF(B9=0,0,B13/B9)</f>
        <v>0.6</v>
      </c>
      <c r="C14" s="26" t="n">
        <f aca="false">IF(C9=0,0,C13/C9)</f>
        <v>0.6</v>
      </c>
      <c r="D14" s="26" t="n">
        <f aca="false">IF(D9=0,0,D13/D9)</f>
        <v>0.6</v>
      </c>
    </row>
    <row r="16" customFormat="false" ht="15" hidden="false" customHeight="false" outlineLevel="0" collapsed="false">
      <c r="A16" s="13" t="s">
        <v>163</v>
      </c>
      <c r="B16" s="14"/>
      <c r="C16" s="14"/>
      <c r="D16" s="14"/>
    </row>
    <row r="17" customFormat="false" ht="15" hidden="false" customHeight="false" outlineLevel="0" collapsed="false">
      <c r="A17" s="4" t="s">
        <v>164</v>
      </c>
      <c r="B17" s="36" t="n">
        <f aca="false">B6*Drivers!$E$62/1800</f>
        <v>0.111111111111111</v>
      </c>
      <c r="C17" s="36" t="n">
        <f aca="false">C6*Drivers!$E$62/1800</f>
        <v>0.222222222222222</v>
      </c>
      <c r="D17" s="36" t="n">
        <f aca="false">D6*Drivers!$E$62/1800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3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23"/>
      <c r="B4" s="23" t="s">
        <v>150</v>
      </c>
      <c r="C4" s="23" t="s">
        <v>151</v>
      </c>
      <c r="D4" s="23" t="s">
        <v>152</v>
      </c>
    </row>
    <row r="5" customFormat="false" ht="15" hidden="false" customHeight="false" outlineLevel="0" collapsed="false">
      <c r="A5" s="13" t="s">
        <v>153</v>
      </c>
      <c r="B5" s="14"/>
      <c r="C5" s="14"/>
      <c r="D5" s="14"/>
    </row>
    <row r="6" customFormat="false" ht="15" hidden="false" customHeight="false" outlineLevel="0" collapsed="false">
      <c r="A6" s="4" t="s">
        <v>194</v>
      </c>
      <c r="B6" s="34" t="n">
        <f aca="false">Drivers!$E$65</f>
        <v>1200</v>
      </c>
      <c r="C6" s="34" t="n">
        <f aca="false">Drivers!$E$66</f>
        <v>3500</v>
      </c>
      <c r="D6" s="34" t="n">
        <f aca="false">Drivers!$E$67</f>
        <v>6000</v>
      </c>
    </row>
    <row r="7" customFormat="false" ht="15" hidden="false" customHeight="false" outlineLevel="0" collapsed="false">
      <c r="A7" s="4" t="s">
        <v>195</v>
      </c>
      <c r="B7" s="34" t="n">
        <f aca="false">(0+B6)/2</f>
        <v>600</v>
      </c>
      <c r="C7" s="34" t="n">
        <f aca="false">(B6+C6)/2</f>
        <v>2350</v>
      </c>
      <c r="D7" s="34" t="n">
        <f aca="false">(C6+D6)/2</f>
        <v>4750</v>
      </c>
    </row>
    <row r="9" customFormat="false" ht="15" hidden="false" customHeight="false" outlineLevel="0" collapsed="false">
      <c r="A9" s="13" t="s">
        <v>156</v>
      </c>
      <c r="B9" s="14"/>
      <c r="C9" s="14"/>
      <c r="D9" s="14"/>
    </row>
    <row r="10" customFormat="false" ht="15" hidden="false" customHeight="false" outlineLevel="0" collapsed="false">
      <c r="A10" s="11" t="s">
        <v>196</v>
      </c>
      <c r="B10" s="18" t="n">
        <f aca="false">B7*Drivers!$E$68</f>
        <v>33000</v>
      </c>
      <c r="C10" s="18" t="n">
        <f aca="false">C7*Drivers!$E$68</f>
        <v>129250</v>
      </c>
      <c r="D10" s="18" t="n">
        <f aca="false">D7*Drivers!$E$68</f>
        <v>261250</v>
      </c>
    </row>
    <row r="12" customFormat="false" ht="15" hidden="false" customHeight="false" outlineLevel="0" collapsed="false">
      <c r="A12" s="13" t="s">
        <v>158</v>
      </c>
      <c r="B12" s="14"/>
      <c r="C12" s="14"/>
      <c r="D12" s="14"/>
    </row>
    <row r="13" customFormat="false" ht="15" hidden="false" customHeight="false" outlineLevel="0" collapsed="false">
      <c r="A13" s="4" t="s">
        <v>197</v>
      </c>
      <c r="B13" s="29" t="n">
        <f aca="false">-B7*Drivers!$E$69</f>
        <v>-14400</v>
      </c>
      <c r="C13" s="29" t="n">
        <f aca="false">-C7*Drivers!$E$69</f>
        <v>-56400</v>
      </c>
      <c r="D13" s="29" t="n">
        <f aca="false">-D7*Drivers!$E$69</f>
        <v>-114000</v>
      </c>
    </row>
    <row r="14" customFormat="false" ht="15" hidden="false" customHeight="false" outlineLevel="0" collapsed="false">
      <c r="A14" s="11" t="s">
        <v>161</v>
      </c>
      <c r="B14" s="18" t="n">
        <f aca="false">B10+B13</f>
        <v>18600</v>
      </c>
      <c r="C14" s="18" t="n">
        <f aca="false">C10+C13</f>
        <v>72850</v>
      </c>
      <c r="D14" s="18" t="n">
        <f aca="false">D10+D13</f>
        <v>147250</v>
      </c>
    </row>
    <row r="15" customFormat="false" ht="15" hidden="false" customHeight="false" outlineLevel="0" collapsed="false">
      <c r="A15" s="4" t="s">
        <v>162</v>
      </c>
      <c r="B15" s="26" t="n">
        <f aca="false">IF(B10=0,0,B14/B10)</f>
        <v>0.563636363636364</v>
      </c>
      <c r="C15" s="26" t="n">
        <f aca="false">IF(C10=0,0,C14/C10)</f>
        <v>0.563636363636364</v>
      </c>
      <c r="D15" s="26" t="n">
        <f aca="false">IF(D10=0,0,D14/D10)</f>
        <v>0.563636363636364</v>
      </c>
    </row>
    <row r="17" customFormat="false" ht="15" hidden="false" customHeight="false" outlineLevel="0" collapsed="false">
      <c r="A17" s="13" t="s">
        <v>163</v>
      </c>
      <c r="B17" s="14"/>
      <c r="C17" s="14"/>
      <c r="D17" s="14"/>
    </row>
    <row r="18" customFormat="false" ht="15" hidden="false" customHeight="false" outlineLevel="0" collapsed="false">
      <c r="A18" s="4" t="s">
        <v>164</v>
      </c>
      <c r="B18" s="36" t="n">
        <f aca="false">Drivers!$E$70/1800</f>
        <v>0.222222222222222</v>
      </c>
      <c r="C18" s="36" t="n">
        <f aca="false">Drivers!$E$70/1800</f>
        <v>0.222222222222222</v>
      </c>
      <c r="D18" s="36" t="n">
        <f aca="false">Drivers!$E$70/1800</f>
        <v>0.222222222222222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2026-09-22T16:38:49Z</dcterms:created>
  <dc:creator>openpyxl</dc:creator>
  <dc:description/>
  <dc:language>en-US</dc:language>
  <cp:lastModifiedBy/>
  <dcterms:modified xsi:type="dcterms:W3CDTF">2026-09-22T16:41:49Z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