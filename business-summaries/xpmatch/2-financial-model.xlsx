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Key Metrics" sheetId="2" state="visible" r:id="rId4"/>
    <sheet name="Annual Views" sheetId="3" state="visible" r:id="rId5"/>
    <sheet name="Year 1 Monthly" sheetId="4" state="visible" r:id="rId6"/>
    <sheet name="SDE Add-backs" sheetId="5" state="visible" r:id="rId7"/>
    <sheet name="Monthly Model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<sst xmlns="http://schemas.openxmlformats.org/spreadsheetml/2006/main" count="463" uniqueCount="318">
  <si>
    <t xml:space="preserve">XPMatch — Financial Model</t>
  </si>
  <si>
    <t xml:space="preserve">Pre-launch prospectus companion · Last updated Sunday, Sep 21, 2026</t>
  </si>
  <si>
    <t xml:space="preserve">FOUNDER INPUTS ARE DEFAULTS</t>
  </si>
  <si>
    <t xml:space="preserve">Nine founder-side inputs were not supplied and have been defaulted: ownership and equity split, founder hours,</t>
  </si>
  <si>
    <t xml:space="preserve">entity, capital available, spend to date, owner compensation, revenue to date, other businesses, and non-competes.</t>
  </si>
  <si>
    <t xml:space="preserve">All nine are tagged [A]. Replace them before this workbook is shown to a lender or a partner.</t>
  </si>
  <si>
    <t xml:space="preserve">HOW TO USE THIS WORKBOOK</t>
  </si>
  <si>
    <t xml:space="preserve">1. Assumptions — every input lives here. Blue cells are yours to change.</t>
  </si>
  <si>
    <t xml:space="preserve">2. Scenario levers (yellow, bottom of Assumptions) — set 0.70 to model a 30% miss, 1.30 for 30% better.</t>
  </si>
  <si>
    <t xml:space="preserve">3. Key Metrics — the Financial Quickview. Recomputes the moment a lever moves.</t>
  </si>
  <si>
    <t xml:space="preserve">4. Monthly Model — the 36-month engine. Volume inputs (blue) at the top, everything else is formula.</t>
  </si>
  <si>
    <t xml:space="preserve">5. Year 1 Monthly · Annual Views · SDE Add-backs — presentation views, all linked.</t>
  </si>
  <si>
    <t xml:space="preserve">COLOUR LEGEND</t>
  </si>
  <si>
    <t xml:space="preserve">Blue text = hardcoded input you may edit</t>
  </si>
  <si>
    <t xml:space="preserve">Black text = formula — do not overwrite</t>
  </si>
  <si>
    <t xml:space="preserve">Green text = link to another sheet</t>
  </si>
  <si>
    <t xml:space="preserve">Yellow fill = scenario lever / key assumption</t>
  </si>
  <si>
    <t xml:space="preserve">WHAT TO CHANGE FIRST</t>
  </si>
  <si>
    <t xml:space="preserve">Advisor seat adds (Monthly Model row 9) is the single largest driver of Year-3 SDE.</t>
  </si>
  <si>
    <t xml:space="preserve">A 30% miss there costs more than the entire concierge line contributes. Model it before anything else.</t>
  </si>
  <si>
    <t xml:space="preserve">TAG KEY</t>
  </si>
  <si>
    <t xml:space="preserve">[V] Verified — a document, invoice or statement exists.</t>
  </si>
  <si>
    <t xml:space="preserve">[E] Estimated — grounded in a named comparable, quote or published benchmark.</t>
  </si>
  <si>
    <t xml:space="preserve">[A] Assumed — nobody knows yet. Every [A] is on the Validation Scorecard in 1-business-summary.md.</t>
  </si>
  <si>
    <t xml:space="preserve">Counts across the model: 1 Verified · 17 Estimated · 20 Assumed. Verified share: 3%.</t>
  </si>
  <si>
    <t xml:space="preserve">Financial Quickview</t>
  </si>
  <si>
    <t xml:space="preserve">Every figure is computed live. Change a scenario lever on Assumptions and this page moves.</t>
  </si>
  <si>
    <t xml:space="preserve">Metric</t>
  </si>
  <si>
    <t xml:space="preserve">Value</t>
  </si>
  <si>
    <t xml:space="preserve">Tag</t>
  </si>
  <si>
    <t xml:space="preserve">Startup capital required (business)</t>
  </si>
  <si>
    <t xml:space="preserve">E</t>
  </si>
  <si>
    <t xml:space="preserve">  of which: one-time build costs</t>
  </si>
  <si>
    <t xml:space="preserve">A</t>
  </si>
  <si>
    <t xml:space="preserve">  of which: month-1 cash drawdown</t>
  </si>
  <si>
    <t xml:space="preserve">  of which: working-capital buffer (3 × M12 opex)</t>
  </si>
  <si>
    <t xml:space="preserve">Founder personal runway (12 mo unpaid)</t>
  </si>
  <si>
    <t xml:space="preserve">Total cash founders must hold</t>
  </si>
  <si>
    <t xml:space="preserve">Founder cash available</t>
  </si>
  <si>
    <t xml:space="preserve">Shortfall</t>
  </si>
  <si>
    <t xml:space="preserve">Months to first revenue</t>
  </si>
  <si>
    <t xml:space="preserve">Months to cash breakeven</t>
  </si>
  <si>
    <t xml:space="preserve">Year-1 revenue</t>
  </si>
  <si>
    <t xml:space="preserve">Year-3 revenue</t>
  </si>
  <si>
    <t xml:space="preserve">Year-3 SDE</t>
  </si>
  <si>
    <t xml:space="preserve">Year-3 SDE margin</t>
  </si>
  <si>
    <t xml:space="preserve">Year-3 exit ARR run-rate</t>
  </si>
  <si>
    <t xml:space="preserve">Target exit multiple (SDE)</t>
  </si>
  <si>
    <t xml:space="preserve">Implied Year-3 valuation</t>
  </si>
  <si>
    <t xml:space="preserve">derived</t>
  </si>
  <si>
    <t xml:space="preserve">Founder hours / week (launch → steady)</t>
  </si>
  <si>
    <t xml:space="preserve">50 → 30</t>
  </si>
  <si>
    <t xml:space="preserve">Financing path</t>
  </si>
  <si>
    <t xml:space="preserve">Bootstrapped, revenue-first</t>
  </si>
  <si>
    <t xml:space="preserve">—</t>
  </si>
  <si>
    <t xml:space="preserve">Scenario levers (live — edit on Assumptions)</t>
  </si>
  <si>
    <t xml:space="preserve">Advisor seat adds multiplier</t>
  </si>
  <si>
    <t xml:space="preserve">Free-to-paid conversion multiplier</t>
  </si>
  <si>
    <t xml:space="preserve">Signup volume multiplier</t>
  </si>
  <si>
    <t xml:space="preserve">COGS multiplier</t>
  </si>
  <si>
    <t xml:space="preserve">Concierge volume multiplier</t>
  </si>
  <si>
    <t xml:space="preserve">Affiliate per-trip multiplier</t>
  </si>
  <si>
    <t xml:space="preserve">Cities seeded multiplier</t>
  </si>
  <si>
    <t xml:space="preserve">Three-Year Projection</t>
  </si>
  <si>
    <t xml:space="preserve">Year 1 = months 1–12, Year 2 = 13–24, Year 3 = 25–36. Every cell sums the Monthly Model.</t>
  </si>
  <si>
    <t xml:space="preserve">Year 1</t>
  </si>
  <si>
    <t xml:space="preserve">Year 2</t>
  </si>
  <si>
    <t xml:space="preserve">Year 3</t>
  </si>
  <si>
    <t xml:space="preserve">Revenue</t>
  </si>
  <si>
    <t xml:space="preserve">Growth YoY</t>
  </si>
  <si>
    <t xml:space="preserve">Cost of goods sold</t>
  </si>
  <si>
    <t xml:space="preserve">Gross profit</t>
  </si>
  <si>
    <t xml:space="preserve">Gross margin</t>
  </si>
  <si>
    <t xml:space="preserve">Advertising &amp; marketing</t>
  </si>
  <si>
    <t xml:space="preserve">Contractors &amp; staff</t>
  </si>
  <si>
    <t xml:space="preserve">Software, hosting &amp; sending</t>
  </si>
  <si>
    <t xml:space="preserve">Owner salary</t>
  </si>
  <si>
    <t xml:space="preserve">Total operating expenses</t>
  </si>
  <si>
    <t xml:space="preserve">Net operating profit</t>
  </si>
  <si>
    <t xml:space="preserve">One-time costs</t>
  </si>
  <si>
    <t xml:space="preserve">Exit-month ARR run-rate</t>
  </si>
  <si>
    <t xml:space="preserve">Paying accounts at year end</t>
  </si>
  <si>
    <t xml:space="preserve">Advisor seats at year end</t>
  </si>
  <si>
    <t xml:space="preserve">Year 1 — Monthly Detail (Oct 2026 – Sep 2027)</t>
  </si>
  <si>
    <t xml:space="preserve">Green = linked from Monthly Model. Edit inputs there, not here.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</si>
  <si>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</si>
  <si>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</si>
  <si>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</si>
  <si>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</si>
  <si>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</si>
  <si>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</si>
  <si>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</si>
  <si>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</si>
  <si>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</si>
  <si>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</si>
  <si>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</si>
  <si>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</si>
  <si>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New signups</t>
  </si>
  <si>
    <t xml:space="preserve">Plus subs — annual</t>
  </si>
  <si>
    <t xml:space="preserve">Plus subs — monthly</t>
  </si>
  <si>
    <t xml:space="preserve">Advisor seats</t>
  </si>
  <si>
    <t xml:space="preserve">Concierge trips</t>
  </si>
  <si>
    <t xml:space="preserve">Plus — annual</t>
  </si>
  <si>
    <t xml:space="preserve">Plus — monthly</t>
  </si>
  <si>
    <t xml:space="preserve">Trip Pass</t>
  </si>
  <si>
    <t xml:space="preserve">Concierge</t>
  </si>
  <si>
    <t xml:space="preserve">Affiliate</t>
  </si>
  <si>
    <t xml:space="preserve">Total revenue</t>
  </si>
  <si>
    <t xml:space="preserve">Total COGS</t>
  </si>
  <si>
    <t xml:space="preserve">Net cash flow</t>
  </si>
  <si>
    <t xml:space="preserve">Cumulative cash</t>
  </si>
  <si>
    <t xml:space="preserve">SDE Add-backs — Detail</t>
  </si>
  <si>
    <t xml:space="preserve">SDE assumes ONE owner-operator. Owner salary is added back. The SECOND founder's unpaid hours are SUBTRACTED, because a buyer must pay someone for them — as is founder concierge review before the reviewer is hired.</t>
  </si>
  <si>
    <t xml:space="preserve">+ Owner salary and payroll taxes</t>
  </si>
  <si>
    <t xml:space="preserve">+ Owner benefits</t>
  </si>
  <si>
    <t xml:space="preserve">+ Interest, depreciation, amortisation</t>
  </si>
  <si>
    <t xml:space="preserve">+ One-time costs (legal, brand, trademark)</t>
  </si>
  <si>
    <t xml:space="preserve">+ Personal expenses through the business</t>
  </si>
  <si>
    <t xml:space="preserve">− Replace second founder (unpaid hours)</t>
  </si>
  <si>
    <t xml:space="preserve">− Replace founder concierge review (pre-hire months)</t>
  </si>
  <si>
    <t xml:space="preserve">SDE</t>
  </si>
  <si>
    <t xml:space="preserve">SDE margin</t>
  </si>
  <si>
    <t xml:space="preserve">Year-1 SDE is negative: the business earns operating profit, and still returns less than zero once two founders' unpaid time is priced at market. Year 1 is a funded experiment, not yet a business.</t>
  </si>
  <si>
    <t xml:space="preserve">XPMatch — 36-Month Model</t>
  </si>
  <si>
    <t xml:space="preserve">Month 1 = October 2026, the month Stripe billing goes live.  Blue = input.  Black = formula.  Change inputs here or scenario levers on Assumptions.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</si>
  <si>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</si>
  <si>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</si>
  <si>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</si>
  <si>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</si>
  <si>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</si>
  <si>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</si>
  <si>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</si>
  <si>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</si>
  <si>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</si>
  <si>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</si>
  <si>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</si>
  <si>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</si>
  <si>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</si>
  <si>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</si>
  <si>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</si>
  <si>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</si>
  <si>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</si>
  <si>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</si>
  <si>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</si>
  <si>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</si>
  <si>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</si>
  <si>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</si>
  <si>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</si>
  <si>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</si>
  <si>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Month #</t>
  </si>
  <si>
    <t xml:space="preserve">Year</t>
  </si>
  <si>
    <t xml:space="preserve">§ Volume inputs</t>
  </si>
  <si>
    <t xml:space="preserve">New free signups (base)</t>
  </si>
  <si>
    <t xml:space="preserve">Advisor seat gross adds (base)</t>
  </si>
  <si>
    <t xml:space="preserve">Concierge trips (base)</t>
  </si>
  <si>
    <t xml:space="preserve">§ Drivers (after scenario levers)</t>
  </si>
  <si>
    <t xml:space="preserve">Signups after lever</t>
  </si>
  <si>
    <t xml:space="preserve">Seat adds after lever</t>
  </si>
  <si>
    <t xml:space="preserve">Concierge trips after lever</t>
  </si>
  <si>
    <t xml:space="preserve">Free-to-paid conversion</t>
  </si>
  <si>
    <t xml:space="preserve">Annual share of Plus</t>
  </si>
  <si>
    <t xml:space="preserve">Affiliate revenue per trip</t>
  </si>
  <si>
    <t xml:space="preserve">Advisor seat monthly churn</t>
  </si>
  <si>
    <t xml:space="preserve">§ Customer rollforward</t>
  </si>
  <si>
    <t xml:space="preserve">New paid conversions</t>
  </si>
  <si>
    <t xml:space="preserve">Trip Pass units</t>
  </si>
  <si>
    <t xml:space="preserve">New Plus subscribers</t>
  </si>
  <si>
    <t xml:space="preserve">New Plus — annual</t>
  </si>
  <si>
    <t xml:space="preserve">New Plus — monthly</t>
  </si>
  <si>
    <t xml:space="preserve">Annual cohort started (new + renewals)</t>
  </si>
  <si>
    <t xml:space="preserve">Plus subscribers — annual (active)</t>
  </si>
  <si>
    <t xml:space="preserve">Plus subscribers — monthly (active)</t>
  </si>
  <si>
    <t xml:space="preserve">Advisor seats (active)</t>
  </si>
  <si>
    <t xml:space="preserve">Free active users</t>
  </si>
  <si>
    <t xml:space="preserve">Paying accounts</t>
  </si>
  <si>
    <t xml:space="preserve">Trips planned</t>
  </si>
  <si>
    <t xml:space="preserve">§ Revenue</t>
  </si>
  <si>
    <t xml:space="preserve">Affiliate commissions</t>
  </si>
  <si>
    <t xml:space="preserve">Cash collected (annual billed upfront)</t>
  </si>
  <si>
    <t xml:space="preserve">§ Cost of goods sold</t>
  </si>
  <si>
    <t xml:space="preserve">Google + model (from the cost engine below)</t>
  </si>
  <si>
    <t xml:space="preserve">Concierge delivery</t>
  </si>
  <si>
    <t xml:space="preserve">Payment processing</t>
  </si>
  <si>
    <t xml:space="preserve">§ Operating expenses</t>
  </si>
  <si>
    <t xml:space="preserve">Hosting</t>
  </si>
  <si>
    <t xml:space="preserve">Software subscriptions</t>
  </si>
  <si>
    <t xml:space="preserve">Cold-email infrastructure</t>
  </si>
  <si>
    <t xml:space="preserve">§ Cash</t>
  </si>
  <si>
    <t xml:space="preserve">§ Cost engine — Google spend scales with cities and days, not users</t>
  </si>
  <si>
    <t xml:space="preserve">Cities with a seeded catalog</t>
  </si>
  <si>
    <t xml:space="preserve">New cities seeded this month</t>
  </si>
  <si>
    <t xml:space="preserve">Effective users (weighted by lookup traffic)</t>
  </si>
  <si>
    <t xml:space="preserve">Effective users per city</t>
  </si>
  <si>
    <t xml:space="preserve">Shared Google cost per city</t>
  </si>
  <si>
    <t xml:space="preserve">Shared cost, all cities</t>
  </si>
  <si>
    <t xml:space="preserve">Unshared cost (never amortises)</t>
  </si>
  <si>
    <t xml:space="preserve">Seeding new cities</t>
  </si>
  <si>
    <t xml:space="preserve">Google + model cost per effective user</t>
  </si>
  <si>
    <t xml:space="preserve">XPMatch — Model Assumptions</t>
  </si>
  <si>
    <t xml:space="preserve">Blue = input you can change.  Black = formula.  Yellow = scenario lever.  Every projection line traces to a row here.</t>
  </si>
  <si>
    <t xml:space="preserve">Assumption</t>
  </si>
  <si>
    <t xml:space="preserve">Source</t>
  </si>
  <si>
    <t xml:space="preserve">Used in</t>
  </si>
  <si>
    <t xml:space="preserve">§ Pricing</t>
  </si>
  <si>
    <t xml:space="preserve">Plus annual price</t>
  </si>
  <si>
    <t xml:space="preserve">Layla $49.99/yr, TripIt Pro $49/yr, Wanderlog Pro $39.99/yr (Sep 2026)</t>
  </si>
  <si>
    <t xml:space="preserve">Plus revenue</t>
  </si>
  <si>
    <t xml:space="preserve">Plus monthly price</t>
  </si>
  <si>
    <t xml:space="preserve">Priced below Layla $9.99/mo</t>
  </si>
  <si>
    <t xml:space="preserve">Trip Pass price (60 days)</t>
  </si>
  <si>
    <t xml:space="preserve">No direct comparable; StayMatch $10 day pass is nearest</t>
  </si>
  <si>
    <t xml:space="preserve">Trip Pass revenue</t>
  </si>
  <si>
    <t xml:space="preserve">Advisor seat price / month</t>
  </si>
  <si>
    <t xml:space="preserve">Travefy $39-59/mo; Tern $39/seat/mo</t>
  </si>
  <si>
    <t xml:space="preserve">Seat revenue</t>
  </si>
  <si>
    <t xml:space="preserve">Concierge average price</t>
  </si>
  <si>
    <t xml:space="preserve">AAA international planning fees $250-1,500</t>
  </si>
  <si>
    <t xml:space="preserve">Concierge revenue</t>
  </si>
  <si>
    <t xml:space="preserve">§ Retention &amp; mix</t>
  </si>
  <si>
    <t xml:space="preserve">Trip Pass share of paid conversions</t>
  </si>
  <si>
    <t xml:space="preserve">Judgement: lower friction at Turn-into-a-trip</t>
  </si>
  <si>
    <t xml:space="preserve">Revenue mix</t>
  </si>
  <si>
    <t xml:space="preserve">Plus monthly churn</t>
  </si>
  <si>
    <t xml:space="preserve">RevenueCat 2026: travel monthly first renewal ~53%</t>
  </si>
  <si>
    <t xml:space="preserve">Plus rollforward</t>
  </si>
  <si>
    <t xml:space="preserve">Plus annual renewal at 12 months</t>
  </si>
  <si>
    <t xml:space="preserve">RevenueCat 2026: travel annual ~40%, +5pts for taste profile</t>
  </si>
  <si>
    <t xml:space="preserve">Free base monthly decay</t>
  </si>
  <si>
    <t xml:space="preserve">No cohort data exists</t>
  </si>
  <si>
    <t xml:space="preserve">Active user count</t>
  </si>
  <si>
    <t xml:space="preserve">§ Google list prices (per call)</t>
  </si>
  <si>
    <t xml:space="preserve">Place Details Enterprise</t>
  </si>
  <si>
    <t xml:space="preserve">V</t>
  </si>
  <si>
    <t xml:space="preserve">Only for a place id never stored, plus the 30-day refresh</t>
  </si>
  <si>
    <t xml:space="preserve">Shared city cost</t>
  </si>
  <si>
    <t xml:space="preserve">Place Details + Atmosphere</t>
  </si>
  <si>
    <t xml:space="preserve">Place sheet / Ask; cached 30 days in place_facts, shared</t>
  </si>
  <si>
    <t xml:space="preserve">Text / Nearby Search Enterprise</t>
  </si>
  <si>
    <t xml:space="preserve">Returns up to 20 places for one fee; cached 24h, shared</t>
  </si>
  <si>
    <t xml:space="preserve">Shared city cost, seeding</t>
  </si>
  <si>
    <t xml:space="preserve">Place Photos</t>
  </si>
  <si>
    <t xml:space="preserve">Cached 24h in photo_urls, shared by everyone</t>
  </si>
  <si>
    <t xml:space="preserve">Dynamic Maps (per load)</t>
  </si>
  <si>
    <t xml:space="preserve">Client-side, per user, never shared</t>
  </si>
  <si>
    <t xml:space="preserve">Unshared per user</t>
  </si>
  <si>
    <t xml:space="preserve">Routes Essentials</t>
  </si>
  <si>
    <t xml:space="preserve">Per routed leg</t>
  </si>
  <si>
    <t xml:space="preserve">Model, per message</t>
  </si>
  <si>
    <t xml:space="preserve">OpenRouter, openai/gpt-4o-mini</t>
  </si>
  <si>
    <t xml:space="preserve">§ Cost shape: per city, not per user</t>
  </si>
  <si>
    <t xml:space="preserve">Seed queries per city</t>
  </si>
  <si>
    <t xml:space="preserve">SEED_QUERIES in src/server/seed.ts</t>
  </si>
  <si>
    <t xml:space="preserve">Seeding cost</t>
  </si>
  <si>
    <t xml:space="preserve">Catalog places per city</t>
  </si>
  <si>
    <t xml:space="preserve">~20 queries x ~20 results, deduped</t>
  </si>
  <si>
    <t xml:space="preserve">Saturation pool</t>
  </si>
  <si>
    <t xml:space="preserve">Distinct list-search queries per city</t>
  </si>
  <si>
    <t xml:space="preserve">Explore tabs + home picks</t>
  </si>
  <si>
    <t xml:space="preserve">Places shown / effective user / month</t>
  </si>
  <si>
    <t xml:space="preserve">UNMEASURED - /admin now reports the real number</t>
  </si>
  <si>
    <t xml:space="preserve">Photos shown / effective user / month</t>
  </si>
  <si>
    <t xml:space="preserve">UNMEASURED</t>
  </si>
  <si>
    <t xml:space="preserve">Place sheets / effective user / month</t>
  </si>
  <si>
    <t xml:space="preserve">List searches / effective user / month</t>
  </si>
  <si>
    <t xml:space="preserve">Messages / effective user / month</t>
  </si>
  <si>
    <t xml:space="preserve">Map loads / effective user / month</t>
  </si>
  <si>
    <t xml:space="preserve">Routed legs / effective user / month</t>
  </si>
  <si>
    <t xml:space="preserve">Days active / month</t>
  </si>
  <si>
    <t xml:space="preserve">Drives the 24h photo and search TTLs. Engagement costs more than usage</t>
  </si>
  <si>
    <t xml:space="preserve">Free-user traffic weight</t>
  </si>
  <si>
    <t xml:space="preserve">Lookup traffic vs one paying consumer; free tier is capped at 40/day</t>
  </si>
  <si>
    <t xml:space="preserve">Effective users</t>
  </si>
  <si>
    <t xml:space="preserve">Paying-consumer traffic weight</t>
  </si>
  <si>
    <t xml:space="preserve">The reference</t>
  </si>
  <si>
    <t xml:space="preserve">Advisor-seat traffic weight</t>
  </si>
  <si>
    <t xml:space="preserve">A seat serves several clients</t>
  </si>
  <si>
    <t xml:space="preserve">Concierge API cost per trip</t>
  </si>
  <si>
    <t xml:space="preserve">docs/COGS.md per-action pricing</t>
  </si>
  <si>
    <t xml:space="preserve">Concierge COGS</t>
  </si>
  <si>
    <t xml:space="preserve">Concierge reviewer rate / hour</t>
  </si>
  <si>
    <t xml:space="preserve">Plan's stated $25-35/h hiring range</t>
  </si>
  <si>
    <t xml:space="preserve">Concierge COGS, SDE</t>
  </si>
  <si>
    <t xml:space="preserve">Concierge reviewer hours / trip</t>
  </si>
  <si>
    <t xml:space="preserve">Plan SOP: 90 minutes per trip</t>
  </si>
  <si>
    <t xml:space="preserve">Reviewer start month</t>
  </si>
  <si>
    <t xml:space="preserve">Plan hires above 20 trips/month</t>
  </si>
  <si>
    <t xml:space="preserve">§ Processing &amp; capital</t>
  </si>
  <si>
    <t xml:space="preserve">Payment processing rate</t>
  </si>
  <si>
    <t xml:space="preserve">Stripe published US pricing</t>
  </si>
  <si>
    <t xml:space="preserve">Processing COGS</t>
  </si>
  <si>
    <t xml:space="preserve">Payment processing fixed / txn</t>
  </si>
  <si>
    <t xml:space="preserve">Founder capital at month 1</t>
  </si>
  <si>
    <t xml:space="preserve">Default - not supplied by founder</t>
  </si>
  <si>
    <t xml:space="preserve">One-time costs (month 1)</t>
  </si>
  <si>
    <t xml:space="preserve">App legal $2,000 + brand/pages $1,500 + trademark $350</t>
  </si>
  <si>
    <t xml:space="preserve">Capital, SDE add-back</t>
  </si>
  <si>
    <t xml:space="preserve">Founder replacement cost / year</t>
  </si>
  <si>
    <t xml:space="preserve">2nd founder 10 h/wk at $50/h market rate</t>
  </si>
  <si>
    <t xml:space="preserve">SDE (negative add-back)</t>
  </si>
  <si>
    <t xml:space="preserve">Comparables 1.9x-4.2x; midpoint less founder &amp; platform dependence</t>
  </si>
  <si>
    <t xml:space="preserve">Implied valuation</t>
  </si>
  <si>
    <t xml:space="preserve">§ Trip generation</t>
  </si>
  <si>
    <t xml:space="preserve">Trips per new signup</t>
  </si>
  <si>
    <t xml:space="preserve">Plan targets 35% first-session trip creation</t>
  </si>
  <si>
    <t xml:space="preserve">Affiliate revenue</t>
  </si>
  <si>
    <t xml:space="preserve">Trips per paying account / month</t>
  </si>
  <si>
    <t xml:space="preserve">Not measured</t>
  </si>
  <si>
    <t xml:space="preserve">§ By year</t>
  </si>
  <si>
    <t xml:space="preserve">Free-to-paid conversion within 30 days</t>
  </si>
  <si>
    <t xml:space="preserve">[E] RevenueCat 2026: travel trial conversion 4.1% median</t>
  </si>
  <si>
    <t xml:space="preserve">Annual share of Plus conversions</t>
  </si>
  <si>
    <t xml:space="preserve">[A] Plan targets &gt;=60% by M12; modelled a year slower</t>
  </si>
  <si>
    <t xml:space="preserve">[A] PESSIMISTIC attach (~5% stays), not the plan's 15% target</t>
  </si>
  <si>
    <t xml:space="preserve">[A] Plan targets &lt;=5% by M12, &lt;=3% by M24</t>
  </si>
  <si>
    <t xml:space="preserve">Cities with a seeded catalog, year end</t>
  </si>
  <si>
    <t xml:space="preserve">[A] THE dominant COGS driver: a $63,775 swing on Year-3 SDE between 50 and 250</t>
  </si>
  <si>
    <t xml:space="preserve">§ Scenario levers — set to 1.00 for the base case</t>
  </si>
  <si>
    <t xml:space="preserve">Change me: 0.70 = a 30% miss, 1.30 = 30% better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</si>
</sst>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0.0%"/>
    <numFmt numFmtId="168" formatCode="0.0\x"/>
    <numFmt numFmtId="169" formatCode="0.00"/>
    <numFmt numFmtId="170" formatCode="#,##0.0;\(#,##0.0\);\-"/>
    <numFmt numFmtId="171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E4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6" t="s">
        <v>13</v>
      </c>
    </row>
    <row r="18" customFormat="false" ht="15" hidden="false" customHeight="false" outlineLevel="0" collapsed="false">
      <c r="A18" s="7" t="s">
        <v>14</v>
      </c>
    </row>
    <row r="19" customFormat="false" ht="15" hidden="false" customHeight="false" outlineLevel="0" collapsed="false">
      <c r="A19" s="8" t="s">
        <v>15</v>
      </c>
    </row>
    <row r="20" customFormat="false" ht="15" hidden="false" customHeight="false" outlineLevel="0" collapsed="false">
      <c r="A20" s="4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  <row r="31" customFormat="false" ht="15" hidden="false" customHeight="false" outlineLevel="0" collapsed="false">
      <c r="A31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0" t="s">
        <v>27</v>
      </c>
      <c r="B4" s="10" t="s">
        <v>28</v>
      </c>
      <c r="C4" s="10" t="s">
        <v>29</v>
      </c>
    </row>
    <row r="5" customFormat="false" ht="15" hidden="false" customHeight="false" outlineLevel="0" collapsed="false">
      <c r="A5" s="9" t="s">
        <v>30</v>
      </c>
      <c r="B5" s="11" t="n">
        <f aca="false">Assumptions!$B$47+MAX(0,Assumptions!$B$46-MIN('Monthly Model'!$B$66:$AK$66))+3*'Monthly Model'!$M$60</f>
        <v>12095.0133033888</v>
      </c>
      <c r="C5" s="12" t="s">
        <v>31</v>
      </c>
    </row>
    <row r="6" customFormat="false" ht="15" hidden="false" customHeight="false" outlineLevel="0" collapsed="false">
      <c r="A6" s="13" t="s">
        <v>32</v>
      </c>
      <c r="B6" s="11" t="n">
        <f aca="false">Assumptions!$B$47</f>
        <v>3850</v>
      </c>
      <c r="C6" s="12" t="s">
        <v>33</v>
      </c>
    </row>
    <row r="7" customFormat="false" ht="15" hidden="false" customHeight="false" outlineLevel="0" collapsed="false">
      <c r="A7" s="13" t="s">
        <v>34</v>
      </c>
      <c r="B7" s="11" t="n">
        <f aca="false">MAX(0,Assumptions!$B$46-MIN('Monthly Model'!$B$66:$AK$66))</f>
        <v>3670.01330338883</v>
      </c>
      <c r="C7" s="12" t="s">
        <v>31</v>
      </c>
    </row>
    <row r="8" customFormat="false" ht="15" hidden="false" customHeight="false" outlineLevel="0" collapsed="false">
      <c r="A8" s="13" t="s">
        <v>35</v>
      </c>
      <c r="B8" s="11" t="n">
        <f aca="false">3*'Monthly Model'!$M$60</f>
        <v>4575</v>
      </c>
      <c r="C8" s="12" t="s">
        <v>31</v>
      </c>
    </row>
    <row r="9" customFormat="false" ht="15" hidden="false" customHeight="false" outlineLevel="0" collapsed="false">
      <c r="A9" s="9" t="s">
        <v>36</v>
      </c>
      <c r="B9" s="14" t="n">
        <v>48000</v>
      </c>
      <c r="C9" s="12" t="s">
        <v>33</v>
      </c>
    </row>
    <row r="10" customFormat="false" ht="15" hidden="false" customHeight="false" outlineLevel="0" collapsed="false">
      <c r="A10" s="9" t="s">
        <v>37</v>
      </c>
      <c r="B10" s="11" t="n">
        <f aca="false">B5+B9</f>
        <v>60095.0133033888</v>
      </c>
      <c r="C10" s="12" t="s">
        <v>33</v>
      </c>
    </row>
    <row r="11" customFormat="false" ht="15" hidden="false" customHeight="false" outlineLevel="0" collapsed="false">
      <c r="A11" s="9" t="s">
        <v>38</v>
      </c>
      <c r="B11" s="11" t="n">
        <f aca="false">Assumptions!$B$46</f>
        <v>25000</v>
      </c>
      <c r="C11" s="12" t="s">
        <v>33</v>
      </c>
    </row>
    <row r="12" customFormat="false" ht="15" hidden="false" customHeight="false" outlineLevel="0" collapsed="false">
      <c r="A12" s="9" t="s">
        <v>39</v>
      </c>
      <c r="B12" s="11" t="n">
        <f aca="false">B11-B10</f>
        <v>-35095.0133033888</v>
      </c>
      <c r="C12" s="12" t="s">
        <v>33</v>
      </c>
    </row>
    <row r="14" customFormat="false" ht="15" hidden="false" customHeight="false" outlineLevel="0" collapsed="false">
      <c r="A14" s="9" t="s">
        <v>40</v>
      </c>
      <c r="B14" s="15" t="n">
        <f aca="false">COUNTIF('Monthly Model'!$B$42:$AK$42,"&lt;=0")+1</f>
        <v>1</v>
      </c>
      <c r="C14" s="12" t="s">
        <v>31</v>
      </c>
    </row>
    <row r="15" customFormat="false" ht="15" hidden="false" customHeight="false" outlineLevel="0" collapsed="false">
      <c r="A15" s="9" t="s">
        <v>41</v>
      </c>
      <c r="B15" s="15" t="n">
        <f aca="false">COUNTIF('Monthly Model'!$B$65:$AK$65,"&lt;=0")+1</f>
        <v>2</v>
      </c>
      <c r="C15" s="12" t="s">
        <v>31</v>
      </c>
    </row>
    <row r="17" customFormat="false" ht="15" hidden="false" customHeight="false" outlineLevel="0" collapsed="false">
      <c r="A17" s="9" t="s">
        <v>42</v>
      </c>
      <c r="B17" s="11" t="n">
        <f aca="false">'Annual Views'!B5</f>
        <v>40122.5247125591</v>
      </c>
      <c r="C17" s="12" t="s">
        <v>33</v>
      </c>
    </row>
    <row r="18" customFormat="false" ht="15" hidden="false" customHeight="false" outlineLevel="0" collapsed="false">
      <c r="A18" s="9" t="s">
        <v>43</v>
      </c>
      <c r="B18" s="11" t="n">
        <f aca="false">'Annual Views'!D5</f>
        <v>427320.015494994</v>
      </c>
      <c r="C18" s="12" t="s">
        <v>33</v>
      </c>
    </row>
    <row r="19" customFormat="false" ht="15" hidden="false" customHeight="false" outlineLevel="0" collapsed="false">
      <c r="A19" s="9" t="s">
        <v>44</v>
      </c>
      <c r="B19" s="11" t="n">
        <f aca="false">'SDE Add-backs'!D13</f>
        <v>197357.012075979</v>
      </c>
      <c r="C19" s="12" t="s">
        <v>33</v>
      </c>
    </row>
    <row r="20" customFormat="false" ht="15" hidden="false" customHeight="false" outlineLevel="0" collapsed="false">
      <c r="A20" s="9" t="s">
        <v>45</v>
      </c>
      <c r="B20" s="16" t="n">
        <f aca="false">IF('Annual Views'!D5=0,0,'SDE Add-backs'!D13/'Annual Views'!D5)</f>
        <v>0.461848275109152</v>
      </c>
      <c r="C20" s="12" t="s">
        <v>33</v>
      </c>
    </row>
    <row r="21" customFormat="false" ht="15" hidden="false" customHeight="false" outlineLevel="0" collapsed="false">
      <c r="A21" s="9" t="s">
        <v>46</v>
      </c>
      <c r="B21" s="11" t="n">
        <f aca="false">'Monthly Model'!$AK$42*12</f>
        <v>548932.391535413</v>
      </c>
      <c r="C21" s="12" t="s">
        <v>33</v>
      </c>
    </row>
    <row r="23" customFormat="false" ht="15" hidden="false" customHeight="false" outlineLevel="0" collapsed="false">
      <c r="A23" s="9" t="s">
        <v>47</v>
      </c>
      <c r="B23" s="17" t="n">
        <f aca="false">Assumptions!$B$49</f>
        <v>3.2</v>
      </c>
      <c r="C23" s="12" t="s">
        <v>31</v>
      </c>
    </row>
    <row r="24" customFormat="false" ht="15" hidden="false" customHeight="false" outlineLevel="0" collapsed="false">
      <c r="A24" s="9" t="s">
        <v>48</v>
      </c>
      <c r="B24" s="18" t="n">
        <f aca="false">B19*B23</f>
        <v>631542.438643134</v>
      </c>
      <c r="C24" s="12" t="s">
        <v>49</v>
      </c>
    </row>
    <row r="25" customFormat="false" ht="15" hidden="false" customHeight="false" outlineLevel="0" collapsed="false">
      <c r="A25" s="9" t="s">
        <v>50</v>
      </c>
      <c r="B25" s="4" t="s">
        <v>51</v>
      </c>
      <c r="C25" s="12" t="s">
        <v>33</v>
      </c>
    </row>
    <row r="26" customFormat="false" ht="15" hidden="false" customHeight="false" outlineLevel="0" collapsed="false">
      <c r="A26" s="9" t="s">
        <v>52</v>
      </c>
      <c r="B26" s="4" t="s">
        <v>53</v>
      </c>
      <c r="C26" s="12" t="s">
        <v>54</v>
      </c>
    </row>
    <row r="28" customFormat="false" ht="15" hidden="false" customHeight="false" outlineLevel="0" collapsed="false">
      <c r="A28" s="19" t="s">
        <v>55</v>
      </c>
      <c r="B28" s="20"/>
      <c r="C28" s="20"/>
    </row>
    <row r="29" customFormat="false" ht="15" hidden="false" customHeight="false" outlineLevel="0" collapsed="false">
      <c r="A29" s="4" t="s">
        <v>56</v>
      </c>
      <c r="B29" s="21" t="n">
        <f aca="false">Assumptions!$B$63</f>
        <v>1</v>
      </c>
    </row>
    <row r="30" customFormat="false" ht="15" hidden="false" customHeight="false" outlineLevel="0" collapsed="false">
      <c r="A30" s="4" t="s">
        <v>57</v>
      </c>
      <c r="B30" s="21" t="n">
        <f aca="false">Assumptions!$B$64</f>
        <v>1</v>
      </c>
    </row>
    <row r="31" customFormat="false" ht="15" hidden="false" customHeight="false" outlineLevel="0" collapsed="false">
      <c r="A31" s="4" t="s">
        <v>58</v>
      </c>
      <c r="B31" s="21" t="n">
        <f aca="false">Assumptions!$B$65</f>
        <v>1</v>
      </c>
    </row>
    <row r="32" customFormat="false" ht="15" hidden="false" customHeight="false" outlineLevel="0" collapsed="false">
      <c r="A32" s="4" t="s">
        <v>59</v>
      </c>
      <c r="B32" s="21" t="n">
        <f aca="false">Assumptions!$B$66</f>
        <v>1</v>
      </c>
    </row>
    <row r="33" customFormat="false" ht="15" hidden="false" customHeight="false" outlineLevel="0" collapsed="false">
      <c r="A33" s="4" t="s">
        <v>60</v>
      </c>
      <c r="B33" s="21" t="n">
        <f aca="false">Assumptions!$B$67</f>
        <v>1</v>
      </c>
    </row>
    <row r="34" customFormat="false" ht="15" hidden="false" customHeight="false" outlineLevel="0" collapsed="false">
      <c r="A34" s="4" t="s">
        <v>61</v>
      </c>
      <c r="B34" s="21" t="n">
        <f aca="false">Assumptions!$B$68</f>
        <v>1</v>
      </c>
    </row>
    <row r="35" customFormat="false" ht="15" hidden="false" customHeight="false" outlineLevel="0" collapsed="false">
      <c r="A35" s="4" t="s">
        <v>62</v>
      </c>
      <c r="B35" s="21" t="n">
        <f aca="false">Assumptions!$B$69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22"/>
      <c r="B4" s="22" t="s">
        <v>65</v>
      </c>
      <c r="C4" s="22" t="s">
        <v>66</v>
      </c>
      <c r="D4" s="22" t="s">
        <v>67</v>
      </c>
    </row>
    <row r="5" customFormat="false" ht="15" hidden="false" customHeight="false" outlineLevel="0" collapsed="false">
      <c r="A5" s="9" t="s">
        <v>68</v>
      </c>
      <c r="B5" s="23" t="n">
        <f aca="false">SUM('Monthly Model'!$B$42:$M$42)</f>
        <v>40122.5247125591</v>
      </c>
      <c r="C5" s="23" t="n">
        <f aca="false">SUM('Monthly Model'!$N$42:$Y$42)</f>
        <v>190673.026640533</v>
      </c>
      <c r="D5" s="23" t="n">
        <f aca="false">SUM('Monthly Model'!$Z$42:$AK$42)</f>
        <v>427320.015494994</v>
      </c>
    </row>
    <row r="6" customFormat="false" ht="15" hidden="false" customHeight="false" outlineLevel="0" collapsed="false">
      <c r="A6" s="4" t="s">
        <v>69</v>
      </c>
      <c r="B6" s="16" t="str">
        <f aca="false">""</f>
        <v/>
      </c>
      <c r="C6" s="16" t="n">
        <f aca="false">C5/B5-1</f>
        <v>3.7522689064691</v>
      </c>
      <c r="D6" s="16" t="n">
        <f aca="false">D5/C5-1</f>
        <v>1.24111413671846</v>
      </c>
    </row>
    <row r="7" customFormat="false" ht="15" hidden="false" customHeight="false" outlineLevel="0" collapsed="false">
      <c r="A7" s="4" t="s">
        <v>70</v>
      </c>
      <c r="B7" s="11" t="n">
        <f aca="false">SUM('Monthly Model'!$B$49:$M$49)</f>
        <v>7688.36954133889</v>
      </c>
      <c r="C7" s="11" t="n">
        <f aca="false">SUM('Monthly Model'!$N$49:$Y$49)</f>
        <v>48920.4742208169</v>
      </c>
      <c r="D7" s="11" t="n">
        <f aca="false">SUM('Monthly Model'!$Z$49:$AK$49)</f>
        <v>106163.003419015</v>
      </c>
    </row>
    <row r="8" customFormat="false" ht="15" hidden="false" customHeight="false" outlineLevel="0" collapsed="false">
      <c r="A8" s="9" t="s">
        <v>71</v>
      </c>
      <c r="B8" s="23" t="n">
        <f aca="false">SUM('Monthly Model'!$B$50:$M$50)</f>
        <v>32434.1551712202</v>
      </c>
      <c r="C8" s="23" t="n">
        <f aca="false">SUM('Monthly Model'!$N$50:$Y$50)</f>
        <v>141752.552419716</v>
      </c>
      <c r="D8" s="23" t="n">
        <f aca="false">SUM('Monthly Model'!$Z$50:$AK$50)</f>
        <v>321157.012075979</v>
      </c>
    </row>
    <row r="9" customFormat="false" ht="15" hidden="false" customHeight="false" outlineLevel="0" collapsed="false">
      <c r="A9" s="4" t="s">
        <v>72</v>
      </c>
      <c r="B9" s="16" t="n">
        <f aca="false">IF(B5=0,0,B8/B5)</f>
        <v>0.808377723076527</v>
      </c>
      <c r="C9" s="16" t="n">
        <f aca="false">IF(C5=0,0,C8/C5)</f>
        <v>0.743432644445066</v>
      </c>
      <c r="D9" s="16" t="n">
        <f aca="false">IF(D5=0,0,D8/D5)</f>
        <v>0.751560892143002</v>
      </c>
    </row>
    <row r="10" customFormat="false" ht="15" hidden="false" customHeight="false" outlineLevel="0" collapsed="false">
      <c r="A10" s="4" t="s">
        <v>73</v>
      </c>
      <c r="B10" s="11" t="n">
        <f aca="false">SUM('Monthly Model'!$B$54:$M$54)</f>
        <v>7200</v>
      </c>
      <c r="C10" s="11" t="n">
        <f aca="false">SUM('Monthly Model'!$N$54:$Y$54)</f>
        <v>24000</v>
      </c>
      <c r="D10" s="11" t="n">
        <f aca="false">SUM('Monthly Model'!$Z$54:$AK$54)</f>
        <v>48000</v>
      </c>
    </row>
    <row r="11" customFormat="false" ht="15" hidden="false" customHeight="false" outlineLevel="0" collapsed="false">
      <c r="A11" s="4" t="s">
        <v>74</v>
      </c>
      <c r="B11" s="11" t="n">
        <f aca="false">SUM('Monthly Model'!$B$55:$M$55)</f>
        <v>0</v>
      </c>
      <c r="C11" s="11" t="n">
        <f aca="false">SUM('Monthly Model'!$N$55:$Y$55)</f>
        <v>15000</v>
      </c>
      <c r="D11" s="11" t="n">
        <f aca="false">SUM('Monthly Model'!$Z$55:$AK$55)</f>
        <v>36000</v>
      </c>
    </row>
    <row r="12" customFormat="false" ht="15" hidden="false" customHeight="false" outlineLevel="0" collapsed="false">
      <c r="A12" s="4" t="s">
        <v>75</v>
      </c>
      <c r="B12" s="11" t="n">
        <f aca="false">SUM('Monthly Model'!$B$56:$M$56)+SUM('Monthly Model'!$B$57:$M$57)+SUM('Monthly Model'!$B$58:$M$58)</f>
        <v>3900</v>
      </c>
      <c r="C12" s="11" t="n">
        <f aca="false">SUM('Monthly Model'!$N$56:$Y$56)+SUM('Monthly Model'!$N$57:$Y$57)+SUM('Monthly Model'!$N$58:$Y$58)</f>
        <v>8400</v>
      </c>
      <c r="D12" s="11" t="n">
        <f aca="false">SUM('Monthly Model'!$Z$56:$AK$56)+SUM('Monthly Model'!$Z$57:$AK$57)+SUM('Monthly Model'!$Z$58:$AK$58)</f>
        <v>13800</v>
      </c>
    </row>
    <row r="13" customFormat="false" ht="15" hidden="false" customHeight="false" outlineLevel="0" collapsed="false">
      <c r="A13" s="4" t="s">
        <v>76</v>
      </c>
      <c r="B13" s="11" t="n">
        <f aca="false">SUM('Monthly Model'!$B$59:$M$59)</f>
        <v>0</v>
      </c>
      <c r="C13" s="11" t="n">
        <f aca="false">SUM('Monthly Model'!$N$59:$Y$59)</f>
        <v>48000</v>
      </c>
      <c r="D13" s="11" t="n">
        <f aca="false">SUM('Monthly Model'!$Z$59:$AK$59)</f>
        <v>96000</v>
      </c>
    </row>
    <row r="14" customFormat="false" ht="15" hidden="false" customHeight="false" outlineLevel="0" collapsed="false">
      <c r="A14" s="4" t="s">
        <v>77</v>
      </c>
      <c r="B14" s="11" t="n">
        <f aca="false">SUM('Monthly Model'!$B$60:$M$60)</f>
        <v>11100</v>
      </c>
      <c r="C14" s="11" t="n">
        <f aca="false">SUM('Monthly Model'!$N$60:$Y$60)</f>
        <v>95400</v>
      </c>
      <c r="D14" s="11" t="n">
        <f aca="false">SUM('Monthly Model'!$Z$60:$AK$60)</f>
        <v>193800</v>
      </c>
    </row>
    <row r="15" customFormat="false" ht="15" hidden="false" customHeight="false" outlineLevel="0" collapsed="false">
      <c r="A15" s="9" t="s">
        <v>78</v>
      </c>
      <c r="B15" s="23" t="n">
        <f aca="false">SUM('Monthly Model'!$B$61:$M$61)</f>
        <v>21334.1551712202</v>
      </c>
      <c r="C15" s="23" t="n">
        <f aca="false">SUM('Monthly Model'!$N$61:$Y$61)</f>
        <v>46352.552419716</v>
      </c>
      <c r="D15" s="23" t="n">
        <f aca="false">SUM('Monthly Model'!$Z$61:$AK$61)</f>
        <v>127357.012075979</v>
      </c>
    </row>
    <row r="16" customFormat="false" ht="15" hidden="false" customHeight="false" outlineLevel="0" collapsed="false">
      <c r="A16" s="4" t="s">
        <v>79</v>
      </c>
      <c r="B16" s="11" t="n">
        <f aca="false">SUM('Monthly Model'!$B$64:$M$64)</f>
        <v>3850</v>
      </c>
      <c r="C16" s="11" t="n">
        <f aca="false">SUM('Monthly Model'!$N$64:$Y$64)</f>
        <v>0</v>
      </c>
      <c r="D16" s="11" t="n">
        <f aca="false">SUM('Monthly Model'!$Z$64:$AK$64)</f>
        <v>0</v>
      </c>
    </row>
    <row r="17" customFormat="false" ht="15" hidden="false" customHeight="false" outlineLevel="0" collapsed="false">
      <c r="A17" s="4" t="s">
        <v>80</v>
      </c>
      <c r="B17" s="11" t="n">
        <f aca="false">'Monthly Model'!$M$42*12</f>
        <v>80379.4606271318</v>
      </c>
      <c r="C17" s="11" t="n">
        <f aca="false">'Monthly Model'!$Y$42*12</f>
        <v>275874.694430799</v>
      </c>
      <c r="D17" s="11" t="n">
        <f aca="false">'Monthly Model'!$AK$42*12</f>
        <v>548932.391535413</v>
      </c>
    </row>
    <row r="18" customFormat="false" ht="15" hidden="false" customHeight="false" outlineLevel="0" collapsed="false">
      <c r="A18" s="4" t="s">
        <v>81</v>
      </c>
      <c r="B18" s="24" t="n">
        <f aca="false">'Monthly Model'!$M$32</f>
        <v>171.250340822164</v>
      </c>
      <c r="C18" s="24" t="n">
        <f aca="false">'Monthly Model'!$Y$32</f>
        <v>853.307790160722</v>
      </c>
      <c r="D18" s="24" t="n">
        <f aca="false">'Monthly Model'!$AK$32</f>
        <v>2100.12963293453</v>
      </c>
    </row>
    <row r="19" customFormat="false" ht="15" hidden="false" customHeight="false" outlineLevel="0" collapsed="false">
      <c r="A19" s="4" t="s">
        <v>82</v>
      </c>
      <c r="B19" s="24" t="n">
        <f aca="false">'Monthly Model'!$M$30</f>
        <v>49.0709168758164</v>
      </c>
      <c r="C19" s="24" t="n">
        <f aca="false">'Monthly Model'!$Y$30</f>
        <v>174.587982477229</v>
      </c>
      <c r="D19" s="24" t="n">
        <f aca="false">'Monthly Model'!$AK$30</f>
        <v>405.476985450596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B3" s="22" t="s">
        <v>85</v>
      </c>
      <c r="C3" s="22" t="s">
        <v>86</v>
      </c>
      <c r="D3" s="22" t="s">
        <v>87</v>
      </c>
      <c r="E3" s="22" t="s">
        <v>88</v>
      </c>
      <c r="F3" s="22" t="s">
        <v>89</v>
      </c>
      <c r="G3" s="22" t="s">
        <v>90</v>
      </c>
      <c r="H3" s="22" t="s">
        <v>91</v>
      </c>
      <c r="I3" s="22" t="s">
        <v>92</v>
      </c>
      <c r="J3" s="22" t="s">
        <v>93</v>
      </c>
      <c r="K3" s="22" t="s">
        <v>94</v>
      </c>
      <c r="L3" s="22" t="s">
        <v>95</v>
      </c>
      <c r="M3" s="22" t="s">
        <v>96</v>
      </c>
      <c r="N3" s="22" t="s">
        <v>65</v>
      </c>
    </row>
    <row r="4" customFormat="false" ht="15" hidden="false" customHeight="false" outlineLevel="0" collapsed="false">
      <c r="A4" s="4" t="s">
        <v>97</v>
      </c>
      <c r="B4" s="25" t="n">
        <f aca="false">'Monthly Model'!B13</f>
        <v>100</v>
      </c>
      <c r="C4" s="25" t="n">
        <f aca="false">'Monthly Model'!C13</f>
        <v>150</v>
      </c>
      <c r="D4" s="25" t="n">
        <f aca="false">'Monthly Model'!D13</f>
        <v>220</v>
      </c>
      <c r="E4" s="25" t="n">
        <f aca="false">'Monthly Model'!E13</f>
        <v>300</v>
      </c>
      <c r="F4" s="25" t="n">
        <f aca="false">'Monthly Model'!F13</f>
        <v>400</v>
      </c>
      <c r="G4" s="25" t="n">
        <f aca="false">'Monthly Model'!G13</f>
        <v>500</v>
      </c>
      <c r="H4" s="25" t="n">
        <f aca="false">'Monthly Model'!H13</f>
        <v>650</v>
      </c>
      <c r="I4" s="25" t="n">
        <f aca="false">'Monthly Model'!I13</f>
        <v>800</v>
      </c>
      <c r="J4" s="25" t="n">
        <f aca="false">'Monthly Model'!J13</f>
        <v>950</v>
      </c>
      <c r="K4" s="25" t="n">
        <f aca="false">'Monthly Model'!K13</f>
        <v>1100</v>
      </c>
      <c r="L4" s="25" t="n">
        <f aca="false">'Monthly Model'!L13</f>
        <v>1300</v>
      </c>
      <c r="M4" s="25" t="n">
        <f aca="false">'Monthly Model'!M13</f>
        <v>1500</v>
      </c>
      <c r="N4" s="26" t="n">
        <f aca="false">SUM(B4:M4)</f>
        <v>7970</v>
      </c>
    </row>
    <row r="5" customFormat="false" ht="15" hidden="false" customHeight="false" outlineLevel="0" collapsed="false">
      <c r="A5" s="4" t="s">
        <v>98</v>
      </c>
      <c r="B5" s="27" t="n">
        <f aca="false">'Monthly Model'!B28</f>
        <v>0.9</v>
      </c>
      <c r="C5" s="27" t="n">
        <f aca="false">'Monthly Model'!C28</f>
        <v>2.25</v>
      </c>
      <c r="D5" s="27" t="n">
        <f aca="false">'Monthly Model'!D28</f>
        <v>4.23</v>
      </c>
      <c r="E5" s="27" t="n">
        <f aca="false">'Monthly Model'!E28</f>
        <v>6.93</v>
      </c>
      <c r="F5" s="27" t="n">
        <f aca="false">'Monthly Model'!F28</f>
        <v>10.53</v>
      </c>
      <c r="G5" s="27" t="n">
        <f aca="false">'Monthly Model'!G28</f>
        <v>15.03</v>
      </c>
      <c r="H5" s="27" t="n">
        <f aca="false">'Monthly Model'!H28</f>
        <v>20.88</v>
      </c>
      <c r="I5" s="27" t="n">
        <f aca="false">'Monthly Model'!I28</f>
        <v>28.08</v>
      </c>
      <c r="J5" s="27" t="n">
        <f aca="false">'Monthly Model'!J28</f>
        <v>36.63</v>
      </c>
      <c r="K5" s="27" t="n">
        <f aca="false">'Monthly Model'!K28</f>
        <v>46.53</v>
      </c>
      <c r="L5" s="27" t="n">
        <f aca="false">'Monthly Model'!L28</f>
        <v>58.23</v>
      </c>
      <c r="M5" s="27" t="n">
        <f aca="false">'Monthly Model'!M28</f>
        <v>71.73</v>
      </c>
      <c r="N5" s="28" t="n">
        <f aca="false">M5</f>
        <v>71.73</v>
      </c>
    </row>
    <row r="6" customFormat="false" ht="15" hidden="false" customHeight="false" outlineLevel="0" collapsed="false">
      <c r="A6" s="4" t="s">
        <v>99</v>
      </c>
      <c r="B6" s="27" t="n">
        <f aca="false">'Monthly Model'!B29</f>
        <v>0.9</v>
      </c>
      <c r="C6" s="27" t="n">
        <f aca="false">'Monthly Model'!C29</f>
        <v>2.142</v>
      </c>
      <c r="D6" s="27" t="n">
        <f aca="false">'Monthly Model'!D29</f>
        <v>3.86496</v>
      </c>
      <c r="E6" s="27" t="n">
        <f aca="false">'Monthly Model'!E29</f>
        <v>6.1011648</v>
      </c>
      <c r="F6" s="27" t="n">
        <f aca="false">'Monthly Model'!F29</f>
        <v>8.969025024</v>
      </c>
      <c r="G6" s="27" t="n">
        <f aca="false">'Monthly Model'!G29</f>
        <v>12.39274202112</v>
      </c>
      <c r="H6" s="27" t="n">
        <f aca="false">'Monthly Model'!H29</f>
        <v>16.7556129785856</v>
      </c>
      <c r="I6" s="27" t="n">
        <f aca="false">'Monthly Model'!I29</f>
        <v>21.9449394211553</v>
      </c>
      <c r="J6" s="27" t="n">
        <f aca="false">'Monthly Model'!J29</f>
        <v>27.8615466906167</v>
      </c>
      <c r="K6" s="27" t="n">
        <f aca="false">'Monthly Model'!K29</f>
        <v>34.4181610877427</v>
      </c>
      <c r="L6" s="27" t="n">
        <f aca="false">'Monthly Model'!L29</f>
        <v>41.9879817572136</v>
      </c>
      <c r="M6" s="27" t="n">
        <f aca="false">'Monthly Model'!M29</f>
        <v>50.4494239463479</v>
      </c>
      <c r="N6" s="28" t="n">
        <f aca="false">M6</f>
        <v>50.4494239463479</v>
      </c>
    </row>
    <row r="7" customFormat="false" ht="15" hidden="false" customHeight="false" outlineLevel="0" collapsed="false">
      <c r="A7" s="4" t="s">
        <v>100</v>
      </c>
      <c r="B7" s="27" t="n">
        <f aca="false">'Monthly Model'!B30</f>
        <v>0</v>
      </c>
      <c r="C7" s="27" t="n">
        <f aca="false">'Monthly Model'!C30</f>
        <v>0</v>
      </c>
      <c r="D7" s="27" t="n">
        <f aca="false">'Monthly Model'!D30</f>
        <v>2</v>
      </c>
      <c r="E7" s="27" t="n">
        <f aca="false">'Monthly Model'!E30</f>
        <v>4.9</v>
      </c>
      <c r="F7" s="27" t="n">
        <f aca="false">'Monthly Model'!F30</f>
        <v>8.655</v>
      </c>
      <c r="G7" s="27" t="n">
        <f aca="false">'Monthly Model'!G30</f>
        <v>13.22225</v>
      </c>
      <c r="H7" s="27" t="n">
        <f aca="false">'Monthly Model'!H30</f>
        <v>18.5611375</v>
      </c>
      <c r="I7" s="27" t="n">
        <f aca="false">'Monthly Model'!I30</f>
        <v>23.633080625</v>
      </c>
      <c r="J7" s="27" t="n">
        <f aca="false">'Monthly Model'!J30</f>
        <v>29.45142659375</v>
      </c>
      <c r="K7" s="27" t="n">
        <f aca="false">'Monthly Model'!K30</f>
        <v>35.9788552640625</v>
      </c>
      <c r="L7" s="27" t="n">
        <f aca="false">'Monthly Model'!L30</f>
        <v>42.1799125008594</v>
      </c>
      <c r="M7" s="27" t="n">
        <f aca="false">'Monthly Model'!M30</f>
        <v>49.0709168758164</v>
      </c>
      <c r="N7" s="28" t="n">
        <f aca="false">M7</f>
        <v>49.0709168758164</v>
      </c>
    </row>
    <row r="8" customFormat="false" ht="15" hidden="false" customHeight="false" outlineLevel="0" collapsed="false">
      <c r="A8" s="4" t="s">
        <v>101</v>
      </c>
      <c r="B8" s="27" t="n">
        <f aca="false">'Monthly Model'!B15</f>
        <v>2</v>
      </c>
      <c r="C8" s="27" t="n">
        <f aca="false">'Monthly Model'!C15</f>
        <v>3</v>
      </c>
      <c r="D8" s="27" t="n">
        <f aca="false">'Monthly Model'!D15</f>
        <v>4</v>
      </c>
      <c r="E8" s="27" t="n">
        <f aca="false">'Monthly Model'!E15</f>
        <v>5</v>
      </c>
      <c r="F8" s="27" t="n">
        <f aca="false">'Monthly Model'!F15</f>
        <v>6</v>
      </c>
      <c r="G8" s="27" t="n">
        <f aca="false">'Monthly Model'!G15</f>
        <v>7</v>
      </c>
      <c r="H8" s="27" t="n">
        <f aca="false">'Monthly Model'!H15</f>
        <v>8</v>
      </c>
      <c r="I8" s="27" t="n">
        <f aca="false">'Monthly Model'!I15</f>
        <v>8</v>
      </c>
      <c r="J8" s="27" t="n">
        <f aca="false">'Monthly Model'!J15</f>
        <v>9</v>
      </c>
      <c r="K8" s="27" t="n">
        <f aca="false">'Monthly Model'!K15</f>
        <v>10</v>
      </c>
      <c r="L8" s="27" t="n">
        <f aca="false">'Monthly Model'!L15</f>
        <v>10</v>
      </c>
      <c r="M8" s="27" t="n">
        <f aca="false">'Monthly Model'!M15</f>
        <v>10</v>
      </c>
      <c r="N8" s="28" t="n">
        <f aca="false">SUM(B8:M8)</f>
        <v>82</v>
      </c>
    </row>
    <row r="10" customFormat="false" ht="15" hidden="false" customHeight="false" outlineLevel="0" collapsed="false">
      <c r="A10" s="4" t="s">
        <v>102</v>
      </c>
      <c r="B10" s="29" t="n">
        <f aca="false">'Monthly Model'!B36</f>
        <v>3.675</v>
      </c>
      <c r="C10" s="29" t="n">
        <f aca="false">'Monthly Model'!C36</f>
        <v>9.1875</v>
      </c>
      <c r="D10" s="29" t="n">
        <f aca="false">'Monthly Model'!D36</f>
        <v>17.2725</v>
      </c>
      <c r="E10" s="29" t="n">
        <f aca="false">'Monthly Model'!E36</f>
        <v>28.2975</v>
      </c>
      <c r="F10" s="29" t="n">
        <f aca="false">'Monthly Model'!F36</f>
        <v>42.9975</v>
      </c>
      <c r="G10" s="29" t="n">
        <f aca="false">'Monthly Model'!G36</f>
        <v>61.3725</v>
      </c>
      <c r="H10" s="29" t="n">
        <f aca="false">'Monthly Model'!H36</f>
        <v>85.26</v>
      </c>
      <c r="I10" s="29" t="n">
        <f aca="false">'Monthly Model'!I36</f>
        <v>114.66</v>
      </c>
      <c r="J10" s="29" t="n">
        <f aca="false">'Monthly Model'!J36</f>
        <v>149.5725</v>
      </c>
      <c r="K10" s="29" t="n">
        <f aca="false">'Monthly Model'!K36</f>
        <v>189.9975</v>
      </c>
      <c r="L10" s="29" t="n">
        <f aca="false">'Monthly Model'!L36</f>
        <v>237.7725</v>
      </c>
      <c r="M10" s="29" t="n">
        <f aca="false">'Monthly Model'!M36</f>
        <v>292.8975</v>
      </c>
      <c r="N10" s="23" t="n">
        <f aca="false">SUM(B10:M10)</f>
        <v>1232.9625</v>
      </c>
    </row>
    <row r="11" customFormat="false" ht="15" hidden="false" customHeight="false" outlineLevel="0" collapsed="false">
      <c r="A11" s="4" t="s">
        <v>103</v>
      </c>
      <c r="B11" s="29" t="n">
        <f aca="false">'Monthly Model'!B37</f>
        <v>7.191</v>
      </c>
      <c r="C11" s="29" t="n">
        <f aca="false">'Monthly Model'!C37</f>
        <v>17.11458</v>
      </c>
      <c r="D11" s="29" t="n">
        <f aca="false">'Monthly Model'!D37</f>
        <v>30.8810304</v>
      </c>
      <c r="E11" s="29" t="n">
        <f aca="false">'Monthly Model'!E37</f>
        <v>48.748306752</v>
      </c>
      <c r="F11" s="29" t="n">
        <f aca="false">'Monthly Model'!F37</f>
        <v>71.66250994176</v>
      </c>
      <c r="G11" s="29" t="n">
        <f aca="false">'Monthly Model'!G37</f>
        <v>99.0180087487488</v>
      </c>
      <c r="H11" s="29" t="n">
        <f aca="false">'Monthly Model'!H37</f>
        <v>133.877347698899</v>
      </c>
      <c r="I11" s="29" t="n">
        <f aca="false">'Monthly Model'!I37</f>
        <v>175.340065975031</v>
      </c>
      <c r="J11" s="29" t="n">
        <f aca="false">'Monthly Model'!J37</f>
        <v>222.613758058027</v>
      </c>
      <c r="K11" s="29" t="n">
        <f aca="false">'Monthly Model'!K37</f>
        <v>275.001107091064</v>
      </c>
      <c r="L11" s="29" t="n">
        <f aca="false">'Monthly Model'!L37</f>
        <v>335.483974240136</v>
      </c>
      <c r="M11" s="29" t="n">
        <f aca="false">'Monthly Model'!M37</f>
        <v>403.09089733132</v>
      </c>
      <c r="N11" s="23" t="n">
        <f aca="false">SUM(B11:M11)</f>
        <v>1820.02258623699</v>
      </c>
    </row>
    <row r="12" customFormat="false" ht="15" hidden="false" customHeight="false" outlineLevel="0" collapsed="false">
      <c r="A12" s="4" t="s">
        <v>104</v>
      </c>
      <c r="B12" s="29" t="n">
        <f aca="false">'Monthly Model'!B38</f>
        <v>41.8</v>
      </c>
      <c r="C12" s="29" t="n">
        <f aca="false">'Monthly Model'!C38</f>
        <v>62.7</v>
      </c>
      <c r="D12" s="29" t="n">
        <f aca="false">'Monthly Model'!D38</f>
        <v>91.96</v>
      </c>
      <c r="E12" s="29" t="n">
        <f aca="false">'Monthly Model'!E38</f>
        <v>125.4</v>
      </c>
      <c r="F12" s="29" t="n">
        <f aca="false">'Monthly Model'!F38</f>
        <v>167.2</v>
      </c>
      <c r="G12" s="29" t="n">
        <f aca="false">'Monthly Model'!G38</f>
        <v>209</v>
      </c>
      <c r="H12" s="29" t="n">
        <f aca="false">'Monthly Model'!H38</f>
        <v>271.7</v>
      </c>
      <c r="I12" s="29" t="n">
        <f aca="false">'Monthly Model'!I38</f>
        <v>334.4</v>
      </c>
      <c r="J12" s="29" t="n">
        <f aca="false">'Monthly Model'!J38</f>
        <v>397.1</v>
      </c>
      <c r="K12" s="29" t="n">
        <f aca="false">'Monthly Model'!K38</f>
        <v>459.8</v>
      </c>
      <c r="L12" s="29" t="n">
        <f aca="false">'Monthly Model'!L38</f>
        <v>543.4</v>
      </c>
      <c r="M12" s="29" t="n">
        <f aca="false">'Monthly Model'!M38</f>
        <v>627</v>
      </c>
      <c r="N12" s="23" t="n">
        <f aca="false">SUM(B12:M12)</f>
        <v>3331.46</v>
      </c>
    </row>
    <row r="13" customFormat="false" ht="15" hidden="false" customHeight="false" outlineLevel="0" collapsed="false">
      <c r="A13" s="4" t="s">
        <v>100</v>
      </c>
      <c r="B13" s="29" t="n">
        <f aca="false">'Monthly Model'!B39</f>
        <v>0</v>
      </c>
      <c r="C13" s="29" t="n">
        <f aca="false">'Monthly Model'!C39</f>
        <v>0</v>
      </c>
      <c r="D13" s="29" t="n">
        <f aca="false">'Monthly Model'!D39</f>
        <v>98</v>
      </c>
      <c r="E13" s="29" t="n">
        <f aca="false">'Monthly Model'!E39</f>
        <v>240.1</v>
      </c>
      <c r="F13" s="29" t="n">
        <f aca="false">'Monthly Model'!F39</f>
        <v>424.095</v>
      </c>
      <c r="G13" s="29" t="n">
        <f aca="false">'Monthly Model'!G39</f>
        <v>647.89025</v>
      </c>
      <c r="H13" s="29" t="n">
        <f aca="false">'Monthly Model'!H39</f>
        <v>909.4957375</v>
      </c>
      <c r="I13" s="29" t="n">
        <f aca="false">'Monthly Model'!I39</f>
        <v>1158.020950625</v>
      </c>
      <c r="J13" s="29" t="n">
        <f aca="false">'Monthly Model'!J39</f>
        <v>1443.11990309375</v>
      </c>
      <c r="K13" s="29" t="n">
        <f aca="false">'Monthly Model'!K39</f>
        <v>1762.96390793906</v>
      </c>
      <c r="L13" s="29" t="n">
        <f aca="false">'Monthly Model'!L39</f>
        <v>2066.81571254211</v>
      </c>
      <c r="M13" s="29" t="n">
        <f aca="false">'Monthly Model'!M39</f>
        <v>2404.474926915</v>
      </c>
      <c r="N13" s="23" t="n">
        <f aca="false">SUM(B13:M13)</f>
        <v>11154.9763886149</v>
      </c>
    </row>
    <row r="14" customFormat="false" ht="15" hidden="false" customHeight="false" outlineLevel="0" collapsed="false">
      <c r="A14" s="4" t="s">
        <v>105</v>
      </c>
      <c r="B14" s="29" t="n">
        <f aca="false">'Monthly Model'!B40</f>
        <v>498</v>
      </c>
      <c r="C14" s="29" t="n">
        <f aca="false">'Monthly Model'!C40</f>
        <v>747</v>
      </c>
      <c r="D14" s="29" t="n">
        <f aca="false">'Monthly Model'!D40</f>
        <v>996</v>
      </c>
      <c r="E14" s="29" t="n">
        <f aca="false">'Monthly Model'!E40</f>
        <v>1245</v>
      </c>
      <c r="F14" s="29" t="n">
        <f aca="false">'Monthly Model'!F40</f>
        <v>1494</v>
      </c>
      <c r="G14" s="29" t="n">
        <f aca="false">'Monthly Model'!G40</f>
        <v>1743</v>
      </c>
      <c r="H14" s="29" t="n">
        <f aca="false">'Monthly Model'!H40</f>
        <v>1992</v>
      </c>
      <c r="I14" s="29" t="n">
        <f aca="false">'Monthly Model'!I40</f>
        <v>1992</v>
      </c>
      <c r="J14" s="29" t="n">
        <f aca="false">'Monthly Model'!J40</f>
        <v>2241</v>
      </c>
      <c r="K14" s="29" t="n">
        <f aca="false">'Monthly Model'!K40</f>
        <v>2490</v>
      </c>
      <c r="L14" s="29" t="n">
        <f aca="false">'Monthly Model'!L40</f>
        <v>2490</v>
      </c>
      <c r="M14" s="29" t="n">
        <f aca="false">'Monthly Model'!M40</f>
        <v>2490</v>
      </c>
      <c r="N14" s="23" t="n">
        <f aca="false">SUM(B14:M14)</f>
        <v>20418</v>
      </c>
    </row>
    <row r="15" customFormat="false" ht="15" hidden="false" customHeight="false" outlineLevel="0" collapsed="false">
      <c r="A15" s="4" t="s">
        <v>106</v>
      </c>
      <c r="B15" s="29" t="n">
        <f aca="false">'Monthly Model'!B41</f>
        <v>0</v>
      </c>
      <c r="C15" s="29" t="n">
        <f aca="false">'Monthly Model'!C41</f>
        <v>0</v>
      </c>
      <c r="D15" s="29" t="n">
        <f aca="false">'Monthly Model'!D41</f>
        <v>0</v>
      </c>
      <c r="E15" s="29" t="n">
        <f aca="false">'Monthly Model'!E41</f>
        <v>0</v>
      </c>
      <c r="F15" s="29" t="n">
        <f aca="false">'Monthly Model'!F41</f>
        <v>0</v>
      </c>
      <c r="G15" s="29" t="n">
        <f aca="false">'Monthly Model'!G41</f>
        <v>157.316098563802</v>
      </c>
      <c r="H15" s="29" t="n">
        <f aca="false">'Monthly Model'!H41</f>
        <v>205.115415086145</v>
      </c>
      <c r="I15" s="29" t="n">
        <f aca="false">'Monthly Model'!I41</f>
        <v>253.258443608308</v>
      </c>
      <c r="J15" s="29" t="n">
        <f aca="false">'Monthly Model'!J41</f>
        <v>301.909735191186</v>
      </c>
      <c r="K15" s="29" t="n">
        <f aca="false">'Monthly Model'!K41</f>
        <v>351.046862943325</v>
      </c>
      <c r="L15" s="29" t="n">
        <f aca="false">'Monthly Model'!L41</f>
        <v>415.631620966453</v>
      </c>
      <c r="M15" s="29" t="n">
        <f aca="false">'Monthly Model'!M41</f>
        <v>480.82506134799</v>
      </c>
      <c r="N15" s="23" t="n">
        <f aca="false">SUM(B15:M15)</f>
        <v>2165.10323770721</v>
      </c>
    </row>
    <row r="16" customFormat="false" ht="15" hidden="false" customHeight="false" outlineLevel="0" collapsed="false">
      <c r="A16" s="9" t="s">
        <v>107</v>
      </c>
      <c r="B16" s="23" t="n">
        <f aca="false">'Monthly Model'!B42</f>
        <v>550.666</v>
      </c>
      <c r="C16" s="23" t="n">
        <f aca="false">'Monthly Model'!C42</f>
        <v>836.00208</v>
      </c>
      <c r="D16" s="23" t="n">
        <f aca="false">'Monthly Model'!D42</f>
        <v>1234.1135304</v>
      </c>
      <c r="E16" s="23" t="n">
        <f aca="false">'Monthly Model'!E42</f>
        <v>1687.545806752</v>
      </c>
      <c r="F16" s="23" t="n">
        <f aca="false">'Monthly Model'!F42</f>
        <v>2199.95500994176</v>
      </c>
      <c r="G16" s="23" t="n">
        <f aca="false">'Monthly Model'!G42</f>
        <v>2917.59685731255</v>
      </c>
      <c r="H16" s="23" t="n">
        <f aca="false">'Monthly Model'!H42</f>
        <v>3597.44850028504</v>
      </c>
      <c r="I16" s="23" t="n">
        <f aca="false">'Monthly Model'!I42</f>
        <v>4027.67946020834</v>
      </c>
      <c r="J16" s="23" t="n">
        <f aca="false">'Monthly Model'!J42</f>
        <v>4755.31589634296</v>
      </c>
      <c r="K16" s="23" t="n">
        <f aca="false">'Monthly Model'!K42</f>
        <v>5528.80937797345</v>
      </c>
      <c r="L16" s="23" t="n">
        <f aca="false">'Monthly Model'!L42</f>
        <v>6089.1038077487</v>
      </c>
      <c r="M16" s="23" t="n">
        <f aca="false">'Monthly Model'!M42</f>
        <v>6698.28838559431</v>
      </c>
      <c r="N16" s="23" t="n">
        <f aca="false">SUM(B16:M16)</f>
        <v>40122.5247125591</v>
      </c>
    </row>
    <row r="18" customFormat="false" ht="15" hidden="false" customHeight="false" outlineLevel="0" collapsed="false">
      <c r="A18" s="4" t="s">
        <v>108</v>
      </c>
      <c r="B18" s="29" t="n">
        <f aca="false">'Monthly Model'!B49</f>
        <v>86.1043033888313</v>
      </c>
      <c r="C18" s="29" t="n">
        <f aca="false">'Monthly Model'!C49</f>
        <v>161.390775437768</v>
      </c>
      <c r="D18" s="29" t="n">
        <f aca="false">'Monthly Model'!D49</f>
        <v>247.303270928144</v>
      </c>
      <c r="E18" s="29" t="n">
        <f aca="false">'Monthly Model'!E49</f>
        <v>340.074725699989</v>
      </c>
      <c r="F18" s="29" t="n">
        <f aca="false">'Monthly Model'!F49</f>
        <v>440.569593019864</v>
      </c>
      <c r="G18" s="29" t="n">
        <f aca="false">'Monthly Model'!G49</f>
        <v>551.13021384335</v>
      </c>
      <c r="H18" s="29" t="n">
        <f aca="false">'Monthly Model'!H49</f>
        <v>668.929737951127</v>
      </c>
      <c r="I18" s="29" t="n">
        <f aca="false">'Monthly Model'!I49</f>
        <v>778.748751308542</v>
      </c>
      <c r="J18" s="29" t="n">
        <f aca="false">'Monthly Model'!J49</f>
        <v>906.672745910113</v>
      </c>
      <c r="K18" s="29" t="n">
        <f aca="false">'Monthly Model'!K49</f>
        <v>1039.26505038565</v>
      </c>
      <c r="L18" s="29" t="n">
        <f aca="false">'Monthly Model'!L49</f>
        <v>1167.00499642444</v>
      </c>
      <c r="M18" s="29" t="n">
        <f aca="false">'Monthly Model'!M49</f>
        <v>1301.17537704107</v>
      </c>
      <c r="N18" s="23" t="n">
        <f aca="false">SUM(B18:M18)</f>
        <v>7688.36954133889</v>
      </c>
    </row>
    <row r="19" customFormat="false" ht="15" hidden="false" customHeight="false" outlineLevel="0" collapsed="false">
      <c r="A19" s="9" t="s">
        <v>71</v>
      </c>
      <c r="B19" s="23" t="n">
        <f aca="false">'Monthly Model'!B50</f>
        <v>464.561696611169</v>
      </c>
      <c r="C19" s="23" t="n">
        <f aca="false">'Monthly Model'!C50</f>
        <v>674.611304562232</v>
      </c>
      <c r="D19" s="23" t="n">
        <f aca="false">'Monthly Model'!D50</f>
        <v>986.810259471856</v>
      </c>
      <c r="E19" s="23" t="n">
        <f aca="false">'Monthly Model'!E50</f>
        <v>1347.47108105201</v>
      </c>
      <c r="F19" s="23" t="n">
        <f aca="false">'Monthly Model'!F50</f>
        <v>1759.3854169219</v>
      </c>
      <c r="G19" s="23" t="n">
        <f aca="false">'Monthly Model'!G50</f>
        <v>2366.4666434692</v>
      </c>
      <c r="H19" s="23" t="n">
        <f aca="false">'Monthly Model'!H50</f>
        <v>2928.51876233392</v>
      </c>
      <c r="I19" s="23" t="n">
        <f aca="false">'Monthly Model'!I50</f>
        <v>3248.9307088998</v>
      </c>
      <c r="J19" s="23" t="n">
        <f aca="false">'Monthly Model'!J50</f>
        <v>3848.64315043285</v>
      </c>
      <c r="K19" s="23" t="n">
        <f aca="false">'Monthly Model'!K50</f>
        <v>4489.5443275878</v>
      </c>
      <c r="L19" s="23" t="n">
        <f aca="false">'Monthly Model'!L50</f>
        <v>4922.09881132426</v>
      </c>
      <c r="M19" s="23" t="n">
        <f aca="false">'Monthly Model'!M50</f>
        <v>5397.11300855324</v>
      </c>
      <c r="N19" s="23" t="n">
        <f aca="false">SUM(B19:M19)</f>
        <v>32434.1551712202</v>
      </c>
    </row>
    <row r="20" customFormat="false" ht="15" hidden="false" customHeight="false" outlineLevel="0" collapsed="false">
      <c r="A20" s="4" t="s">
        <v>72</v>
      </c>
      <c r="B20" s="30" t="n">
        <f aca="false">'Monthly Model'!B51</f>
        <v>0.843636063623265</v>
      </c>
      <c r="C20" s="30" t="n">
        <f aca="false">'Monthly Model'!C51</f>
        <v>0.806949313525909</v>
      </c>
      <c r="D20" s="30" t="n">
        <f aca="false">'Monthly Model'!D51</f>
        <v>0.799610599157771</v>
      </c>
      <c r="E20" s="30" t="n">
        <f aca="false">'Monthly Model'!E51</f>
        <v>0.798479706838579</v>
      </c>
      <c r="F20" s="30" t="n">
        <f aca="false">'Monthly Model'!F51</f>
        <v>0.799736998698202</v>
      </c>
      <c r="G20" s="30" t="n">
        <f aca="false">'Monthly Model'!G51</f>
        <v>0.811101313582094</v>
      </c>
      <c r="H20" s="30" t="n">
        <f aca="false">'Monthly Model'!H51</f>
        <v>0.814054394969623</v>
      </c>
      <c r="I20" s="30" t="n">
        <f aca="false">'Monthly Model'!I51</f>
        <v>0.806650762802197</v>
      </c>
      <c r="J20" s="30" t="n">
        <f aca="false">'Monthly Model'!J51</f>
        <v>0.809334907359702</v>
      </c>
      <c r="K20" s="30" t="n">
        <f aca="false">'Monthly Model'!K51</f>
        <v>0.812027331865331</v>
      </c>
      <c r="L20" s="30" t="n">
        <f aca="false">'Monthly Model'!L51</f>
        <v>0.808345360291056</v>
      </c>
      <c r="M20" s="30" t="n">
        <f aca="false">'Monthly Model'!M51</f>
        <v>0.805745094546922</v>
      </c>
      <c r="N20" s="31" t="n">
        <f aca="false">IF(N18=0,0,N19/N18)</f>
        <v>4.21859992509829</v>
      </c>
    </row>
    <row r="22" customFormat="false" ht="15" hidden="false" customHeight="false" outlineLevel="0" collapsed="false">
      <c r="A22" s="4" t="s">
        <v>77</v>
      </c>
      <c r="B22" s="29" t="n">
        <f aca="false">'Monthly Model'!B60</f>
        <v>325</v>
      </c>
      <c r="C22" s="29" t="n">
        <f aca="false">'Monthly Model'!C60</f>
        <v>325</v>
      </c>
      <c r="D22" s="29" t="n">
        <f aca="false">'Monthly Model'!D60</f>
        <v>325</v>
      </c>
      <c r="E22" s="29" t="n">
        <f aca="false">'Monthly Model'!E60</f>
        <v>725</v>
      </c>
      <c r="F22" s="29" t="n">
        <f aca="false">'Monthly Model'!F60</f>
        <v>825</v>
      </c>
      <c r="G22" s="29" t="n">
        <f aca="false">'Monthly Model'!G60</f>
        <v>925</v>
      </c>
      <c r="H22" s="29" t="n">
        <f aca="false">'Monthly Model'!H60</f>
        <v>1025</v>
      </c>
      <c r="I22" s="29" t="n">
        <f aca="false">'Monthly Model'!I60</f>
        <v>1125</v>
      </c>
      <c r="J22" s="29" t="n">
        <f aca="false">'Monthly Model'!J60</f>
        <v>1225</v>
      </c>
      <c r="K22" s="29" t="n">
        <f aca="false">'Monthly Model'!K60</f>
        <v>1325</v>
      </c>
      <c r="L22" s="29" t="n">
        <f aca="false">'Monthly Model'!L60</f>
        <v>1425</v>
      </c>
      <c r="M22" s="29" t="n">
        <f aca="false">'Monthly Model'!M60</f>
        <v>1525</v>
      </c>
      <c r="N22" s="23" t="n">
        <f aca="false">SUM(B22:M22)</f>
        <v>11100</v>
      </c>
    </row>
    <row r="23" customFormat="false" ht="15" hidden="false" customHeight="false" outlineLevel="0" collapsed="false">
      <c r="A23" s="9" t="s">
        <v>78</v>
      </c>
      <c r="B23" s="23" t="n">
        <f aca="false">'Monthly Model'!B61</f>
        <v>139.561696611169</v>
      </c>
      <c r="C23" s="23" t="n">
        <f aca="false">'Monthly Model'!C61</f>
        <v>349.611304562232</v>
      </c>
      <c r="D23" s="23" t="n">
        <f aca="false">'Monthly Model'!D61</f>
        <v>661.810259471856</v>
      </c>
      <c r="E23" s="23" t="n">
        <f aca="false">'Monthly Model'!E61</f>
        <v>622.471081052011</v>
      </c>
      <c r="F23" s="23" t="n">
        <f aca="false">'Monthly Model'!F61</f>
        <v>934.385416921896</v>
      </c>
      <c r="G23" s="23" t="n">
        <f aca="false">'Monthly Model'!G61</f>
        <v>1441.4666434692</v>
      </c>
      <c r="H23" s="23" t="n">
        <f aca="false">'Monthly Model'!H61</f>
        <v>1903.51876233392</v>
      </c>
      <c r="I23" s="23" t="n">
        <f aca="false">'Monthly Model'!I61</f>
        <v>2123.9307088998</v>
      </c>
      <c r="J23" s="23" t="n">
        <f aca="false">'Monthly Model'!J61</f>
        <v>2623.64315043285</v>
      </c>
      <c r="K23" s="23" t="n">
        <f aca="false">'Monthly Model'!K61</f>
        <v>3164.5443275878</v>
      </c>
      <c r="L23" s="23" t="n">
        <f aca="false">'Monthly Model'!L61</f>
        <v>3497.09881132426</v>
      </c>
      <c r="M23" s="23" t="n">
        <f aca="false">'Monthly Model'!M61</f>
        <v>3872.11300855324</v>
      </c>
      <c r="N23" s="23" t="n">
        <f aca="false">SUM(B23:M23)</f>
        <v>21334.1551712202</v>
      </c>
    </row>
    <row r="24" customFormat="false" ht="15" hidden="false" customHeight="false" outlineLevel="0" collapsed="false">
      <c r="A24" s="4" t="s">
        <v>79</v>
      </c>
      <c r="B24" s="29" t="n">
        <f aca="false">'Monthly Model'!B64</f>
        <v>3850</v>
      </c>
      <c r="C24" s="29" t="n">
        <f aca="false">'Monthly Model'!C64</f>
        <v>0</v>
      </c>
      <c r="D24" s="29" t="n">
        <f aca="false">'Monthly Model'!D64</f>
        <v>0</v>
      </c>
      <c r="E24" s="29" t="n">
        <f aca="false">'Monthly Model'!E64</f>
        <v>0</v>
      </c>
      <c r="F24" s="29" t="n">
        <f aca="false">'Monthly Model'!F64</f>
        <v>0</v>
      </c>
      <c r="G24" s="29" t="n">
        <f aca="false">'Monthly Model'!G64</f>
        <v>0</v>
      </c>
      <c r="H24" s="29" t="n">
        <f aca="false">'Monthly Model'!H64</f>
        <v>0</v>
      </c>
      <c r="I24" s="29" t="n">
        <f aca="false">'Monthly Model'!I64</f>
        <v>0</v>
      </c>
      <c r="J24" s="29" t="n">
        <f aca="false">'Monthly Model'!J64</f>
        <v>0</v>
      </c>
      <c r="K24" s="29" t="n">
        <f aca="false">'Monthly Model'!K64</f>
        <v>0</v>
      </c>
      <c r="L24" s="29" t="n">
        <f aca="false">'Monthly Model'!L64</f>
        <v>0</v>
      </c>
      <c r="M24" s="29" t="n">
        <f aca="false">'Monthly Model'!M64</f>
        <v>0</v>
      </c>
      <c r="N24" s="23" t="n">
        <f aca="false">SUM(B24:M24)</f>
        <v>3850</v>
      </c>
    </row>
    <row r="25" customFormat="false" ht="15" hidden="false" customHeight="false" outlineLevel="0" collapsed="false">
      <c r="A25" s="4" t="s">
        <v>109</v>
      </c>
      <c r="B25" s="29" t="n">
        <f aca="false">'Monthly Model'!B65</f>
        <v>-3670.01330338883</v>
      </c>
      <c r="C25" s="29" t="n">
        <f aca="false">'Monthly Model'!C65</f>
        <v>406.573804562232</v>
      </c>
      <c r="D25" s="29" t="n">
        <f aca="false">'Monthly Model'!D65</f>
        <v>741.557759471856</v>
      </c>
      <c r="E25" s="29" t="n">
        <f aca="false">'Monthly Model'!E65</f>
        <v>726.473581052011</v>
      </c>
      <c r="F25" s="29" t="n">
        <f aca="false">'Monthly Model'!F65</f>
        <v>1067.7879169219</v>
      </c>
      <c r="G25" s="29" t="n">
        <f aca="false">'Monthly Model'!G65</f>
        <v>1600.5941434692</v>
      </c>
      <c r="H25" s="29" t="n">
        <f aca="false">'Monthly Model'!H65</f>
        <v>2104.90876233392</v>
      </c>
      <c r="I25" s="29" t="n">
        <f aca="false">'Monthly Model'!I65</f>
        <v>2362.0707088998</v>
      </c>
      <c r="J25" s="29" t="n">
        <f aca="false">'Monthly Model'!J65</f>
        <v>2893.02065043285</v>
      </c>
      <c r="K25" s="29" t="n">
        <f aca="false">'Monthly Model'!K65</f>
        <v>3459.6468275878</v>
      </c>
      <c r="L25" s="29" t="n">
        <f aca="false">'Monthly Model'!L65</f>
        <v>3832.62631132426</v>
      </c>
      <c r="M25" s="29" t="n">
        <f aca="false">'Monthly Model'!M65</f>
        <v>4240.71550855324</v>
      </c>
      <c r="N25" s="23" t="n">
        <f aca="false">SUM(B25:M25)</f>
        <v>19765.9626712202</v>
      </c>
    </row>
    <row r="26" customFormat="false" ht="15" hidden="false" customHeight="false" outlineLevel="0" collapsed="false">
      <c r="A26" s="9" t="s">
        <v>110</v>
      </c>
      <c r="B26" s="23" t="n">
        <f aca="false">'Monthly Model'!B66</f>
        <v>21329.9866966112</v>
      </c>
      <c r="C26" s="23" t="n">
        <f aca="false">'Monthly Model'!C66</f>
        <v>21736.5605011734</v>
      </c>
      <c r="D26" s="23" t="n">
        <f aca="false">'Monthly Model'!D66</f>
        <v>22478.1182606453</v>
      </c>
      <c r="E26" s="23" t="n">
        <f aca="false">'Monthly Model'!E66</f>
        <v>23204.5918416973</v>
      </c>
      <c r="F26" s="23" t="n">
        <f aca="false">'Monthly Model'!F66</f>
        <v>24272.3797586192</v>
      </c>
      <c r="G26" s="23" t="n">
        <f aca="false">'Monthly Model'!G66</f>
        <v>25872.9739020884</v>
      </c>
      <c r="H26" s="23" t="n">
        <f aca="false">'Monthly Model'!H66</f>
        <v>27977.8826644223</v>
      </c>
      <c r="I26" s="23" t="n">
        <f aca="false">'Monthly Model'!I66</f>
        <v>30339.9533733221</v>
      </c>
      <c r="J26" s="23" t="n">
        <f aca="false">'Monthly Model'!J66</f>
        <v>33232.9740237549</v>
      </c>
      <c r="K26" s="23" t="n">
        <f aca="false">'Monthly Model'!K66</f>
        <v>36692.6208513427</v>
      </c>
      <c r="L26" s="23" t="n">
        <f aca="false">'Monthly Model'!L66</f>
        <v>40525.247162667</v>
      </c>
      <c r="M26" s="23" t="n">
        <f aca="false">'Monthly Model'!M66</f>
        <v>44765.9626712202</v>
      </c>
      <c r="N26" s="23" t="n">
        <f aca="false">M26</f>
        <v>44765.9626712202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22"/>
      <c r="B4" s="22" t="s">
        <v>65</v>
      </c>
      <c r="C4" s="22" t="s">
        <v>66</v>
      </c>
      <c r="D4" s="22" t="s">
        <v>67</v>
      </c>
    </row>
    <row r="5" customFormat="false" ht="15" hidden="false" customHeight="false" outlineLevel="0" collapsed="false">
      <c r="A5" s="4" t="s">
        <v>78</v>
      </c>
      <c r="B5" s="11" t="n">
        <f aca="false">'Annual Views'!B15</f>
        <v>21334.1551712202</v>
      </c>
      <c r="C5" s="11" t="n">
        <f aca="false">'Annual Views'!C15</f>
        <v>46352.552419716</v>
      </c>
      <c r="D5" s="11" t="n">
        <f aca="false">'Annual Views'!D15</f>
        <v>127357.012075979</v>
      </c>
    </row>
    <row r="6" customFormat="false" ht="15" hidden="false" customHeight="false" outlineLevel="0" collapsed="false">
      <c r="A6" s="4" t="s">
        <v>113</v>
      </c>
      <c r="B6" s="11" t="n">
        <f aca="false">SUM('Monthly Model'!$B$59:$M$59)</f>
        <v>0</v>
      </c>
      <c r="C6" s="11" t="n">
        <f aca="false">SUM('Monthly Model'!$N$59:$Y$59)</f>
        <v>48000</v>
      </c>
      <c r="D6" s="11" t="n">
        <f aca="false">SUM('Monthly Model'!$Z$59:$AK$59)</f>
        <v>96000</v>
      </c>
    </row>
    <row r="7" customFormat="false" ht="15" hidden="false" customHeight="false" outlineLevel="0" collapsed="false">
      <c r="A7" s="4" t="s">
        <v>114</v>
      </c>
      <c r="B7" s="11" t="n">
        <f aca="false">0</f>
        <v>0</v>
      </c>
      <c r="C7" s="11" t="n">
        <f aca="false">0</f>
        <v>0</v>
      </c>
      <c r="D7" s="11" t="n">
        <f aca="false">0</f>
        <v>0</v>
      </c>
    </row>
    <row r="8" customFormat="false" ht="15" hidden="false" customHeight="false" outlineLevel="0" collapsed="false">
      <c r="A8" s="4" t="s">
        <v>115</v>
      </c>
      <c r="B8" s="11" t="n">
        <f aca="false">0</f>
        <v>0</v>
      </c>
      <c r="C8" s="11" t="n">
        <f aca="false">0</f>
        <v>0</v>
      </c>
      <c r="D8" s="11" t="n">
        <f aca="false">0</f>
        <v>0</v>
      </c>
    </row>
    <row r="9" customFormat="false" ht="15" hidden="false" customHeight="false" outlineLevel="0" collapsed="false">
      <c r="A9" s="4" t="s">
        <v>116</v>
      </c>
      <c r="B9" s="11" t="n">
        <f aca="false">SUM('Monthly Model'!$B$64:$M$64)</f>
        <v>3850</v>
      </c>
      <c r="C9" s="11" t="n">
        <f aca="false">SUM('Monthly Model'!$N$64:$Y$64)</f>
        <v>0</v>
      </c>
      <c r="D9" s="11" t="n">
        <f aca="false">SUM('Monthly Model'!$Z$64:$AK$64)</f>
        <v>0</v>
      </c>
    </row>
    <row r="10" customFormat="false" ht="15" hidden="false" customHeight="false" outlineLevel="0" collapsed="false">
      <c r="A10" s="4" t="s">
        <v>117</v>
      </c>
      <c r="B10" s="11" t="n">
        <f aca="false">0</f>
        <v>0</v>
      </c>
      <c r="C10" s="11" t="n">
        <f aca="false">0</f>
        <v>0</v>
      </c>
      <c r="D10" s="11" t="n">
        <f aca="false">0</f>
        <v>0</v>
      </c>
    </row>
    <row r="11" customFormat="false" ht="15" hidden="false" customHeight="false" outlineLevel="0" collapsed="false">
      <c r="A11" s="4" t="s">
        <v>118</v>
      </c>
      <c r="B11" s="11" t="n">
        <f aca="false">-Assumptions!$B$48</f>
        <v>-26000</v>
      </c>
      <c r="C11" s="11" t="n">
        <f aca="false">-Assumptions!$B$48</f>
        <v>-26000</v>
      </c>
      <c r="D11" s="11" t="n">
        <f aca="false">-Assumptions!$B$48</f>
        <v>-26000</v>
      </c>
    </row>
    <row r="12" customFormat="false" ht="15" hidden="false" customHeight="false" outlineLevel="0" collapsed="false">
      <c r="A12" s="4" t="s">
        <v>119</v>
      </c>
      <c r="B12" s="11" t="n">
        <f aca="false">-SUMIFS('Monthly Model'!$B$15:$M$15,'Monthly Model'!$B$4:$M$4,"&lt;"&amp;Assumptions!$B$42)*Assumptions!$B$40*Assumptions!$B$41</f>
        <v>-4305</v>
      </c>
      <c r="C12" s="11" t="n">
        <f aca="false">-SUMIFS('Monthly Model'!$N$15:$Y$15,'Monthly Model'!$N$4:$Y$4,"&lt;"&amp;Assumptions!$B$42)*Assumptions!$B$40*Assumptions!$B$41</f>
        <v>-1365</v>
      </c>
      <c r="D12" s="11" t="n">
        <f aca="false">-SUMIFS('Monthly Model'!$Z$15:$AK$15,'Monthly Model'!$Z$4:$AK$4,"&lt;"&amp;Assumptions!$B$42)*Assumptions!$B$40*Assumptions!$B$41</f>
        <v>-0</v>
      </c>
    </row>
    <row r="13" customFormat="false" ht="15" hidden="false" customHeight="false" outlineLevel="0" collapsed="false">
      <c r="A13" s="9" t="s">
        <v>120</v>
      </c>
      <c r="B13" s="23" t="n">
        <f aca="false">SUM(B5:B12)</f>
        <v>-5120.84482877977</v>
      </c>
      <c r="C13" s="23" t="n">
        <f aca="false">SUM(C5:C12)</f>
        <v>66987.552419716</v>
      </c>
      <c r="D13" s="23" t="n">
        <f aca="false">SUM(D5:D12)</f>
        <v>197357.012075979</v>
      </c>
    </row>
    <row r="14" customFormat="false" ht="15" hidden="false" customHeight="false" outlineLevel="0" collapsed="false">
      <c r="A14" s="4" t="s">
        <v>121</v>
      </c>
      <c r="B14" s="16" t="n">
        <f aca="false">IF('Annual Views'!B5=0,0,B13/'Annual Views'!B5)</f>
        <v>-0.127630174458509</v>
      </c>
      <c r="C14" s="16" t="n">
        <f aca="false">IF('Annual Views'!C5=0,0,C13/'Annual Views'!C5)</f>
        <v>0.351321598025527</v>
      </c>
      <c r="D14" s="16" t="n">
        <f aca="false">IF('Annual Views'!D5=0,0,D13/'Annual Views'!D5)</f>
        <v>0.461848275109152</v>
      </c>
    </row>
    <row r="16" customFormat="false" ht="15" hidden="false" customHeight="false" outlineLevel="0" collapsed="false">
      <c r="A16" s="3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7" min="2" style="0" width="11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3" customFormat="false" ht="15" hidden="false" customHeight="false" outlineLevel="0" collapsed="false">
      <c r="B3" s="22" t="s">
        <v>85</v>
      </c>
      <c r="C3" s="22" t="s">
        <v>86</v>
      </c>
      <c r="D3" s="22" t="s">
        <v>87</v>
      </c>
      <c r="E3" s="22" t="s">
        <v>88</v>
      </c>
      <c r="F3" s="22" t="s">
        <v>89</v>
      </c>
      <c r="G3" s="22" t="s">
        <v>90</v>
      </c>
      <c r="H3" s="22" t="s">
        <v>91</v>
      </c>
      <c r="I3" s="22" t="s">
        <v>92</v>
      </c>
      <c r="J3" s="22" t="s">
        <v>93</v>
      </c>
      <c r="K3" s="22" t="s">
        <v>94</v>
      </c>
      <c r="L3" s="22" t="s">
        <v>95</v>
      </c>
      <c r="M3" s="22" t="s">
        <v>96</v>
      </c>
      <c r="N3" s="22" t="s">
        <v>125</v>
      </c>
      <c r="O3" s="22" t="s">
        <v>126</v>
      </c>
      <c r="P3" s="22" t="s">
        <v>127</v>
      </c>
      <c r="Q3" s="22" t="s">
        <v>128</v>
      </c>
      <c r="R3" s="22" t="s">
        <v>129</v>
      </c>
      <c r="S3" s="22" t="s">
        <v>130</v>
      </c>
      <c r="T3" s="22" t="s">
        <v>131</v>
      </c>
      <c r="U3" s="22" t="s">
        <v>132</v>
      </c>
      <c r="V3" s="22" t="s">
        <v>133</v>
      </c>
      <c r="W3" s="22" t="s">
        <v>134</v>
      </c>
      <c r="X3" s="22" t="s">
        <v>135</v>
      </c>
      <c r="Y3" s="22" t="s">
        <v>136</v>
      </c>
      <c r="Z3" s="22" t="s">
        <v>137</v>
      </c>
      <c r="AA3" s="22" t="s">
        <v>138</v>
      </c>
      <c r="AB3" s="22" t="s">
        <v>139</v>
      </c>
      <c r="AC3" s="22" t="s">
        <v>140</v>
      </c>
      <c r="AD3" s="22" t="s">
        <v>141</v>
      </c>
      <c r="AE3" s="22" t="s">
        <v>142</v>
      </c>
      <c r="AF3" s="22" t="s">
        <v>143</v>
      </c>
      <c r="AG3" s="22" t="s">
        <v>144</v>
      </c>
      <c r="AH3" s="22" t="s">
        <v>145</v>
      </c>
      <c r="AI3" s="22" t="s">
        <v>146</v>
      </c>
      <c r="AJ3" s="22" t="s">
        <v>147</v>
      </c>
      <c r="AK3" s="22" t="s">
        <v>148</v>
      </c>
    </row>
    <row r="4" customFormat="false" ht="15" hidden="false" customHeight="false" outlineLevel="0" collapsed="false">
      <c r="A4" s="9" t="s">
        <v>149</v>
      </c>
      <c r="B4" s="33" t="n">
        <v>1</v>
      </c>
      <c r="C4" s="15" t="n">
        <f aca="false">B4+1</f>
        <v>2</v>
      </c>
      <c r="D4" s="15" t="n">
        <f aca="false">C4+1</f>
        <v>3</v>
      </c>
      <c r="E4" s="15" t="n">
        <f aca="false">D4+1</f>
        <v>4</v>
      </c>
      <c r="F4" s="15" t="n">
        <f aca="false">E4+1</f>
        <v>5</v>
      </c>
      <c r="G4" s="15" t="n">
        <f aca="false">F4+1</f>
        <v>6</v>
      </c>
      <c r="H4" s="15" t="n">
        <f aca="false">G4+1</f>
        <v>7</v>
      </c>
      <c r="I4" s="15" t="n">
        <f aca="false">H4+1</f>
        <v>8</v>
      </c>
      <c r="J4" s="15" t="n">
        <f aca="false">I4+1</f>
        <v>9</v>
      </c>
      <c r="K4" s="15" t="n">
        <f aca="false">J4+1</f>
        <v>10</v>
      </c>
      <c r="L4" s="15" t="n">
        <f aca="false">K4+1</f>
        <v>11</v>
      </c>
      <c r="M4" s="15" t="n">
        <f aca="false">L4+1</f>
        <v>12</v>
      </c>
      <c r="N4" s="15" t="n">
        <f aca="false">M4+1</f>
        <v>13</v>
      </c>
      <c r="O4" s="15" t="n">
        <f aca="false">N4+1</f>
        <v>14</v>
      </c>
      <c r="P4" s="15" t="n">
        <f aca="false">O4+1</f>
        <v>15</v>
      </c>
      <c r="Q4" s="15" t="n">
        <f aca="false">P4+1</f>
        <v>16</v>
      </c>
      <c r="R4" s="15" t="n">
        <f aca="false">Q4+1</f>
        <v>17</v>
      </c>
      <c r="S4" s="15" t="n">
        <f aca="false">R4+1</f>
        <v>18</v>
      </c>
      <c r="T4" s="15" t="n">
        <f aca="false">S4+1</f>
        <v>19</v>
      </c>
      <c r="U4" s="15" t="n">
        <f aca="false">T4+1</f>
        <v>20</v>
      </c>
      <c r="V4" s="15" t="n">
        <f aca="false">U4+1</f>
        <v>21</v>
      </c>
      <c r="W4" s="15" t="n">
        <f aca="false">V4+1</f>
        <v>22</v>
      </c>
      <c r="X4" s="15" t="n">
        <f aca="false">W4+1</f>
        <v>23</v>
      </c>
      <c r="Y4" s="15" t="n">
        <f aca="false">X4+1</f>
        <v>24</v>
      </c>
      <c r="Z4" s="15" t="n">
        <f aca="false">Y4+1</f>
        <v>25</v>
      </c>
      <c r="AA4" s="15" t="n">
        <f aca="false">Z4+1</f>
        <v>26</v>
      </c>
      <c r="AB4" s="15" t="n">
        <f aca="false">AA4+1</f>
        <v>27</v>
      </c>
      <c r="AC4" s="15" t="n">
        <f aca="false">AB4+1</f>
        <v>28</v>
      </c>
      <c r="AD4" s="15" t="n">
        <f aca="false">AC4+1</f>
        <v>29</v>
      </c>
      <c r="AE4" s="15" t="n">
        <f aca="false">AD4+1</f>
        <v>30</v>
      </c>
      <c r="AF4" s="15" t="n">
        <f aca="false">AE4+1</f>
        <v>31</v>
      </c>
      <c r="AG4" s="15" t="n">
        <f aca="false">AF4+1</f>
        <v>32</v>
      </c>
      <c r="AH4" s="15" t="n">
        <f aca="false">AG4+1</f>
        <v>33</v>
      </c>
      <c r="AI4" s="15" t="n">
        <f aca="false">AH4+1</f>
        <v>34</v>
      </c>
      <c r="AJ4" s="15" t="n">
        <f aca="false">AI4+1</f>
        <v>35</v>
      </c>
      <c r="AK4" s="15" t="n">
        <f aca="false">AJ4+1</f>
        <v>36</v>
      </c>
    </row>
    <row r="5" customFormat="false" ht="15" hidden="false" customHeight="false" outlineLevel="0" collapsed="false">
      <c r="A5" s="9" t="s">
        <v>150</v>
      </c>
      <c r="B5" s="15" t="n">
        <f aca="false">IF(B4&lt;=12,1,IF(B4&lt;=24,2,3))</f>
        <v>1</v>
      </c>
      <c r="C5" s="15" t="n">
        <f aca="false">IF(C4&lt;=12,1,IF(C4&lt;=24,2,3))</f>
        <v>1</v>
      </c>
      <c r="D5" s="15" t="n">
        <f aca="false">IF(D4&lt;=12,1,IF(D4&lt;=24,2,3))</f>
        <v>1</v>
      </c>
      <c r="E5" s="15" t="n">
        <f aca="false">IF(E4&lt;=12,1,IF(E4&lt;=24,2,3))</f>
        <v>1</v>
      </c>
      <c r="F5" s="15" t="n">
        <f aca="false">IF(F4&lt;=12,1,IF(F4&lt;=24,2,3))</f>
        <v>1</v>
      </c>
      <c r="G5" s="15" t="n">
        <f aca="false">IF(G4&lt;=12,1,IF(G4&lt;=24,2,3))</f>
        <v>1</v>
      </c>
      <c r="H5" s="15" t="n">
        <f aca="false">IF(H4&lt;=12,1,IF(H4&lt;=24,2,3))</f>
        <v>1</v>
      </c>
      <c r="I5" s="15" t="n">
        <f aca="false">IF(I4&lt;=12,1,IF(I4&lt;=24,2,3))</f>
        <v>1</v>
      </c>
      <c r="J5" s="15" t="n">
        <f aca="false">IF(J4&lt;=12,1,IF(J4&lt;=24,2,3))</f>
        <v>1</v>
      </c>
      <c r="K5" s="15" t="n">
        <f aca="false">IF(K4&lt;=12,1,IF(K4&lt;=24,2,3))</f>
        <v>1</v>
      </c>
      <c r="L5" s="15" t="n">
        <f aca="false">IF(L4&lt;=12,1,IF(L4&lt;=24,2,3))</f>
        <v>1</v>
      </c>
      <c r="M5" s="15" t="n">
        <f aca="false">IF(M4&lt;=12,1,IF(M4&lt;=24,2,3))</f>
        <v>1</v>
      </c>
      <c r="N5" s="15" t="n">
        <f aca="false">IF(N4&lt;=12,1,IF(N4&lt;=24,2,3))</f>
        <v>2</v>
      </c>
      <c r="O5" s="15" t="n">
        <f aca="false">IF(O4&lt;=12,1,IF(O4&lt;=24,2,3))</f>
        <v>2</v>
      </c>
      <c r="P5" s="15" t="n">
        <f aca="false">IF(P4&lt;=12,1,IF(P4&lt;=24,2,3))</f>
        <v>2</v>
      </c>
      <c r="Q5" s="15" t="n">
        <f aca="false">IF(Q4&lt;=12,1,IF(Q4&lt;=24,2,3))</f>
        <v>2</v>
      </c>
      <c r="R5" s="15" t="n">
        <f aca="false">IF(R4&lt;=12,1,IF(R4&lt;=24,2,3))</f>
        <v>2</v>
      </c>
      <c r="S5" s="15" t="n">
        <f aca="false">IF(S4&lt;=12,1,IF(S4&lt;=24,2,3))</f>
        <v>2</v>
      </c>
      <c r="T5" s="15" t="n">
        <f aca="false">IF(T4&lt;=12,1,IF(T4&lt;=24,2,3))</f>
        <v>2</v>
      </c>
      <c r="U5" s="15" t="n">
        <f aca="false">IF(U4&lt;=12,1,IF(U4&lt;=24,2,3))</f>
        <v>2</v>
      </c>
      <c r="V5" s="15" t="n">
        <f aca="false">IF(V4&lt;=12,1,IF(V4&lt;=24,2,3))</f>
        <v>2</v>
      </c>
      <c r="W5" s="15" t="n">
        <f aca="false">IF(W4&lt;=12,1,IF(W4&lt;=24,2,3))</f>
        <v>2</v>
      </c>
      <c r="X5" s="15" t="n">
        <f aca="false">IF(X4&lt;=12,1,IF(X4&lt;=24,2,3))</f>
        <v>2</v>
      </c>
      <c r="Y5" s="15" t="n">
        <f aca="false">IF(Y4&lt;=12,1,IF(Y4&lt;=24,2,3))</f>
        <v>2</v>
      </c>
      <c r="Z5" s="15" t="n">
        <f aca="false">IF(Z4&lt;=12,1,IF(Z4&lt;=24,2,3))</f>
        <v>3</v>
      </c>
      <c r="AA5" s="15" t="n">
        <f aca="false">IF(AA4&lt;=12,1,IF(AA4&lt;=24,2,3))</f>
        <v>3</v>
      </c>
      <c r="AB5" s="15" t="n">
        <f aca="false">IF(AB4&lt;=12,1,IF(AB4&lt;=24,2,3))</f>
        <v>3</v>
      </c>
      <c r="AC5" s="15" t="n">
        <f aca="false">IF(AC4&lt;=12,1,IF(AC4&lt;=24,2,3))</f>
        <v>3</v>
      </c>
      <c r="AD5" s="15" t="n">
        <f aca="false">IF(AD4&lt;=12,1,IF(AD4&lt;=24,2,3))</f>
        <v>3</v>
      </c>
      <c r="AE5" s="15" t="n">
        <f aca="false">IF(AE4&lt;=12,1,IF(AE4&lt;=24,2,3))</f>
        <v>3</v>
      </c>
      <c r="AF5" s="15" t="n">
        <f aca="false">IF(AF4&lt;=12,1,IF(AF4&lt;=24,2,3))</f>
        <v>3</v>
      </c>
      <c r="AG5" s="15" t="n">
        <f aca="false">IF(AG4&lt;=12,1,IF(AG4&lt;=24,2,3))</f>
        <v>3</v>
      </c>
      <c r="AH5" s="15" t="n">
        <f aca="false">IF(AH4&lt;=12,1,IF(AH4&lt;=24,2,3))</f>
        <v>3</v>
      </c>
      <c r="AI5" s="15" t="n">
        <f aca="false">IF(AI4&lt;=12,1,IF(AI4&lt;=24,2,3))</f>
        <v>3</v>
      </c>
      <c r="AJ5" s="15" t="n">
        <f aca="false">IF(AJ4&lt;=12,1,IF(AJ4&lt;=24,2,3))</f>
        <v>3</v>
      </c>
      <c r="AK5" s="15" t="n">
        <f aca="false">IF(AK4&lt;=12,1,IF(AK4&lt;=24,2,3))</f>
        <v>3</v>
      </c>
    </row>
    <row r="7" customFormat="false" ht="15" hidden="false" customHeight="false" outlineLevel="0" collapsed="false">
      <c r="A7" s="34" t="s">
        <v>151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customFormat="false" ht="15" hidden="false" customHeight="false" outlineLevel="0" collapsed="false">
      <c r="A8" s="4" t="s">
        <v>152</v>
      </c>
      <c r="B8" s="33" t="n">
        <v>100</v>
      </c>
      <c r="C8" s="33" t="n">
        <v>150</v>
      </c>
      <c r="D8" s="33" t="n">
        <v>220</v>
      </c>
      <c r="E8" s="33" t="n">
        <v>300</v>
      </c>
      <c r="F8" s="33" t="n">
        <v>400</v>
      </c>
      <c r="G8" s="33" t="n">
        <v>500</v>
      </c>
      <c r="H8" s="33" t="n">
        <v>650</v>
      </c>
      <c r="I8" s="33" t="n">
        <v>800</v>
      </c>
      <c r="J8" s="33" t="n">
        <v>950</v>
      </c>
      <c r="K8" s="33" t="n">
        <v>1100</v>
      </c>
      <c r="L8" s="33" t="n">
        <v>1300</v>
      </c>
      <c r="M8" s="33" t="n">
        <v>1500</v>
      </c>
      <c r="N8" s="33" t="n">
        <v>1700</v>
      </c>
      <c r="O8" s="33" t="n">
        <v>1900</v>
      </c>
      <c r="P8" s="33" t="n">
        <v>2100</v>
      </c>
      <c r="Q8" s="33" t="n">
        <v>2300</v>
      </c>
      <c r="R8" s="33" t="n">
        <v>2500</v>
      </c>
      <c r="S8" s="33" t="n">
        <v>2700</v>
      </c>
      <c r="T8" s="33" t="n">
        <v>2900</v>
      </c>
      <c r="U8" s="33" t="n">
        <v>3100</v>
      </c>
      <c r="V8" s="33" t="n">
        <v>3300</v>
      </c>
      <c r="W8" s="33" t="n">
        <v>3500</v>
      </c>
      <c r="X8" s="33" t="n">
        <v>3700</v>
      </c>
      <c r="Y8" s="33" t="n">
        <v>3900</v>
      </c>
      <c r="Z8" s="33" t="n">
        <v>4100</v>
      </c>
      <c r="AA8" s="33" t="n">
        <v>4300</v>
      </c>
      <c r="AB8" s="33" t="n">
        <v>4500</v>
      </c>
      <c r="AC8" s="33" t="n">
        <v>4700</v>
      </c>
      <c r="AD8" s="33" t="n">
        <v>4900</v>
      </c>
      <c r="AE8" s="33" t="n">
        <v>5100</v>
      </c>
      <c r="AF8" s="33" t="n">
        <v>5300</v>
      </c>
      <c r="AG8" s="33" t="n">
        <v>5500</v>
      </c>
      <c r="AH8" s="33" t="n">
        <v>5700</v>
      </c>
      <c r="AI8" s="33" t="n">
        <v>5900</v>
      </c>
      <c r="AJ8" s="33" t="n">
        <v>6100</v>
      </c>
      <c r="AK8" s="33" t="n">
        <v>6300</v>
      </c>
    </row>
    <row r="9" customFormat="false" ht="15" hidden="false" customHeight="false" outlineLevel="0" collapsed="false">
      <c r="A9" s="4" t="s">
        <v>153</v>
      </c>
      <c r="B9" s="33" t="n">
        <v>0</v>
      </c>
      <c r="C9" s="33" t="n">
        <v>0</v>
      </c>
      <c r="D9" s="33" t="n">
        <v>2</v>
      </c>
      <c r="E9" s="33" t="n">
        <v>3</v>
      </c>
      <c r="F9" s="33" t="n">
        <v>4</v>
      </c>
      <c r="G9" s="33" t="n">
        <v>5</v>
      </c>
      <c r="H9" s="33" t="n">
        <v>6</v>
      </c>
      <c r="I9" s="33" t="n">
        <v>6</v>
      </c>
      <c r="J9" s="33" t="n">
        <v>7</v>
      </c>
      <c r="K9" s="33" t="n">
        <v>8</v>
      </c>
      <c r="L9" s="33" t="n">
        <v>8</v>
      </c>
      <c r="M9" s="33" t="n">
        <v>9</v>
      </c>
      <c r="N9" s="33" t="n">
        <v>10</v>
      </c>
      <c r="O9" s="33" t="n">
        <v>11</v>
      </c>
      <c r="P9" s="33" t="n">
        <v>12</v>
      </c>
      <c r="Q9" s="33" t="n">
        <v>13</v>
      </c>
      <c r="R9" s="33" t="n">
        <v>14</v>
      </c>
      <c r="S9" s="33" t="n">
        <v>15</v>
      </c>
      <c r="T9" s="33" t="n">
        <v>16</v>
      </c>
      <c r="U9" s="33" t="n">
        <v>17</v>
      </c>
      <c r="V9" s="33" t="n">
        <v>18</v>
      </c>
      <c r="W9" s="33" t="n">
        <v>19</v>
      </c>
      <c r="X9" s="33" t="n">
        <v>20</v>
      </c>
      <c r="Y9" s="33" t="n">
        <v>21</v>
      </c>
      <c r="Z9" s="33" t="n">
        <v>22</v>
      </c>
      <c r="AA9" s="33" t="n">
        <v>23</v>
      </c>
      <c r="AB9" s="33" t="n">
        <v>24</v>
      </c>
      <c r="AC9" s="33" t="n">
        <v>25</v>
      </c>
      <c r="AD9" s="33" t="n">
        <v>26</v>
      </c>
      <c r="AE9" s="33" t="n">
        <v>27</v>
      </c>
      <c r="AF9" s="33" t="n">
        <v>28</v>
      </c>
      <c r="AG9" s="33" t="n">
        <v>29</v>
      </c>
      <c r="AH9" s="33" t="n">
        <v>30</v>
      </c>
      <c r="AI9" s="33" t="n">
        <v>31</v>
      </c>
      <c r="AJ9" s="33" t="n">
        <v>32</v>
      </c>
      <c r="AK9" s="33" t="n">
        <v>33</v>
      </c>
    </row>
    <row r="10" customFormat="false" ht="15" hidden="false" customHeight="false" outlineLevel="0" collapsed="false">
      <c r="A10" s="4" t="s">
        <v>154</v>
      </c>
      <c r="B10" s="33" t="n">
        <v>2</v>
      </c>
      <c r="C10" s="33" t="n">
        <v>3</v>
      </c>
      <c r="D10" s="33" t="n">
        <v>4</v>
      </c>
      <c r="E10" s="33" t="n">
        <v>5</v>
      </c>
      <c r="F10" s="33" t="n">
        <v>6</v>
      </c>
      <c r="G10" s="33" t="n">
        <v>7</v>
      </c>
      <c r="H10" s="33" t="n">
        <v>8</v>
      </c>
      <c r="I10" s="33" t="n">
        <v>8</v>
      </c>
      <c r="J10" s="33" t="n">
        <v>9</v>
      </c>
      <c r="K10" s="33" t="n">
        <v>10</v>
      </c>
      <c r="L10" s="33" t="n">
        <v>10</v>
      </c>
      <c r="M10" s="33" t="n">
        <v>10</v>
      </c>
      <c r="N10" s="33" t="n">
        <v>12</v>
      </c>
      <c r="O10" s="33" t="n">
        <v>14</v>
      </c>
      <c r="P10" s="33" t="n">
        <v>16</v>
      </c>
      <c r="Q10" s="33" t="n">
        <v>18</v>
      </c>
      <c r="R10" s="33" t="n">
        <v>20</v>
      </c>
      <c r="S10" s="33" t="n">
        <v>20</v>
      </c>
      <c r="T10" s="33" t="n">
        <v>22</v>
      </c>
      <c r="U10" s="33" t="n">
        <v>22</v>
      </c>
      <c r="V10" s="33" t="n">
        <v>24</v>
      </c>
      <c r="W10" s="33" t="n">
        <v>24</v>
      </c>
      <c r="X10" s="33" t="n">
        <v>25</v>
      </c>
      <c r="Y10" s="33" t="n">
        <v>25</v>
      </c>
      <c r="Z10" s="33" t="n">
        <v>25</v>
      </c>
      <c r="AA10" s="33" t="n">
        <v>26</v>
      </c>
      <c r="AB10" s="33" t="n">
        <v>26</v>
      </c>
      <c r="AC10" s="33" t="n">
        <v>27</v>
      </c>
      <c r="AD10" s="33" t="n">
        <v>27</v>
      </c>
      <c r="AE10" s="33" t="n">
        <v>28</v>
      </c>
      <c r="AF10" s="33" t="n">
        <v>28</v>
      </c>
      <c r="AG10" s="33" t="n">
        <v>29</v>
      </c>
      <c r="AH10" s="33" t="n">
        <v>29</v>
      </c>
      <c r="AI10" s="33" t="n">
        <v>30</v>
      </c>
      <c r="AJ10" s="33" t="n">
        <v>30</v>
      </c>
      <c r="AK10" s="33" t="n">
        <v>30</v>
      </c>
    </row>
    <row r="12" customFormat="false" ht="15" hidden="false" customHeight="false" outlineLevel="0" collapsed="false">
      <c r="A12" s="34" t="s">
        <v>155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</row>
    <row r="13" customFormat="false" ht="15" hidden="false" customHeight="false" outlineLevel="0" collapsed="false">
      <c r="A13" s="4" t="s">
        <v>156</v>
      </c>
      <c r="B13" s="15" t="n">
        <f aca="false">B8*Assumptions!$B$65</f>
        <v>100</v>
      </c>
      <c r="C13" s="15" t="n">
        <f aca="false">C8*Assumptions!$B$65</f>
        <v>150</v>
      </c>
      <c r="D13" s="15" t="n">
        <f aca="false">D8*Assumptions!$B$65</f>
        <v>220</v>
      </c>
      <c r="E13" s="15" t="n">
        <f aca="false">E8*Assumptions!$B$65</f>
        <v>300</v>
      </c>
      <c r="F13" s="15" t="n">
        <f aca="false">F8*Assumptions!$B$65</f>
        <v>400</v>
      </c>
      <c r="G13" s="15" t="n">
        <f aca="false">G8*Assumptions!$B$65</f>
        <v>500</v>
      </c>
      <c r="H13" s="15" t="n">
        <f aca="false">H8*Assumptions!$B$65</f>
        <v>650</v>
      </c>
      <c r="I13" s="15" t="n">
        <f aca="false">I8*Assumptions!$B$65</f>
        <v>800</v>
      </c>
      <c r="J13" s="15" t="n">
        <f aca="false">J8*Assumptions!$B$65</f>
        <v>950</v>
      </c>
      <c r="K13" s="15" t="n">
        <f aca="false">K8*Assumptions!$B$65</f>
        <v>1100</v>
      </c>
      <c r="L13" s="15" t="n">
        <f aca="false">L8*Assumptions!$B$65</f>
        <v>1300</v>
      </c>
      <c r="M13" s="15" t="n">
        <f aca="false">M8*Assumptions!$B$65</f>
        <v>1500</v>
      </c>
      <c r="N13" s="15" t="n">
        <f aca="false">N8*Assumptions!$B$65</f>
        <v>1700</v>
      </c>
      <c r="O13" s="15" t="n">
        <f aca="false">O8*Assumptions!$B$65</f>
        <v>1900</v>
      </c>
      <c r="P13" s="15" t="n">
        <f aca="false">P8*Assumptions!$B$65</f>
        <v>2100</v>
      </c>
      <c r="Q13" s="15" t="n">
        <f aca="false">Q8*Assumptions!$B$65</f>
        <v>2300</v>
      </c>
      <c r="R13" s="15" t="n">
        <f aca="false">R8*Assumptions!$B$65</f>
        <v>2500</v>
      </c>
      <c r="S13" s="15" t="n">
        <f aca="false">S8*Assumptions!$B$65</f>
        <v>2700</v>
      </c>
      <c r="T13" s="15" t="n">
        <f aca="false">T8*Assumptions!$B$65</f>
        <v>2900</v>
      </c>
      <c r="U13" s="15" t="n">
        <f aca="false">U8*Assumptions!$B$65</f>
        <v>3100</v>
      </c>
      <c r="V13" s="15" t="n">
        <f aca="false">V8*Assumptions!$B$65</f>
        <v>3300</v>
      </c>
      <c r="W13" s="15" t="n">
        <f aca="false">W8*Assumptions!$B$65</f>
        <v>3500</v>
      </c>
      <c r="X13" s="15" t="n">
        <f aca="false">X8*Assumptions!$B$65</f>
        <v>3700</v>
      </c>
      <c r="Y13" s="15" t="n">
        <f aca="false">Y8*Assumptions!$B$65</f>
        <v>3900</v>
      </c>
      <c r="Z13" s="15" t="n">
        <f aca="false">Z8*Assumptions!$B$65</f>
        <v>4100</v>
      </c>
      <c r="AA13" s="15" t="n">
        <f aca="false">AA8*Assumptions!$B$65</f>
        <v>4300</v>
      </c>
      <c r="AB13" s="15" t="n">
        <f aca="false">AB8*Assumptions!$B$65</f>
        <v>4500</v>
      </c>
      <c r="AC13" s="15" t="n">
        <f aca="false">AC8*Assumptions!$B$65</f>
        <v>4700</v>
      </c>
      <c r="AD13" s="15" t="n">
        <f aca="false">AD8*Assumptions!$B$65</f>
        <v>4900</v>
      </c>
      <c r="AE13" s="15" t="n">
        <f aca="false">AE8*Assumptions!$B$65</f>
        <v>5100</v>
      </c>
      <c r="AF13" s="15" t="n">
        <f aca="false">AF8*Assumptions!$B$65</f>
        <v>5300</v>
      </c>
      <c r="AG13" s="15" t="n">
        <f aca="false">AG8*Assumptions!$B$65</f>
        <v>5500</v>
      </c>
      <c r="AH13" s="15" t="n">
        <f aca="false">AH8*Assumptions!$B$65</f>
        <v>5700</v>
      </c>
      <c r="AI13" s="15" t="n">
        <f aca="false">AI8*Assumptions!$B$65</f>
        <v>5900</v>
      </c>
      <c r="AJ13" s="15" t="n">
        <f aca="false">AJ8*Assumptions!$B$65</f>
        <v>6100</v>
      </c>
      <c r="AK13" s="15" t="n">
        <f aca="false">AK8*Assumptions!$B$65</f>
        <v>6300</v>
      </c>
    </row>
    <row r="14" customFormat="false" ht="15" hidden="false" customHeight="false" outlineLevel="0" collapsed="false">
      <c r="A14" s="4" t="s">
        <v>157</v>
      </c>
      <c r="B14" s="24" t="n">
        <f aca="false">B9*Assumptions!$B$63</f>
        <v>0</v>
      </c>
      <c r="C14" s="24" t="n">
        <f aca="false">C9*Assumptions!$B$63</f>
        <v>0</v>
      </c>
      <c r="D14" s="24" t="n">
        <f aca="false">D9*Assumptions!$B$63</f>
        <v>2</v>
      </c>
      <c r="E14" s="24" t="n">
        <f aca="false">E9*Assumptions!$B$63</f>
        <v>3</v>
      </c>
      <c r="F14" s="24" t="n">
        <f aca="false">F9*Assumptions!$B$63</f>
        <v>4</v>
      </c>
      <c r="G14" s="24" t="n">
        <f aca="false">G9*Assumptions!$B$63</f>
        <v>5</v>
      </c>
      <c r="H14" s="24" t="n">
        <f aca="false">H9*Assumptions!$B$63</f>
        <v>6</v>
      </c>
      <c r="I14" s="24" t="n">
        <f aca="false">I9*Assumptions!$B$63</f>
        <v>6</v>
      </c>
      <c r="J14" s="24" t="n">
        <f aca="false">J9*Assumptions!$B$63</f>
        <v>7</v>
      </c>
      <c r="K14" s="24" t="n">
        <f aca="false">K9*Assumptions!$B$63</f>
        <v>8</v>
      </c>
      <c r="L14" s="24" t="n">
        <f aca="false">L9*Assumptions!$B$63</f>
        <v>8</v>
      </c>
      <c r="M14" s="24" t="n">
        <f aca="false">M9*Assumptions!$B$63</f>
        <v>9</v>
      </c>
      <c r="N14" s="24" t="n">
        <f aca="false">N9*Assumptions!$B$63</f>
        <v>10</v>
      </c>
      <c r="O14" s="24" t="n">
        <f aca="false">O9*Assumptions!$B$63</f>
        <v>11</v>
      </c>
      <c r="P14" s="24" t="n">
        <f aca="false">P9*Assumptions!$B$63</f>
        <v>12</v>
      </c>
      <c r="Q14" s="24" t="n">
        <f aca="false">Q9*Assumptions!$B$63</f>
        <v>13</v>
      </c>
      <c r="R14" s="24" t="n">
        <f aca="false">R9*Assumptions!$B$63</f>
        <v>14</v>
      </c>
      <c r="S14" s="24" t="n">
        <f aca="false">S9*Assumptions!$B$63</f>
        <v>15</v>
      </c>
      <c r="T14" s="24" t="n">
        <f aca="false">T9*Assumptions!$B$63</f>
        <v>16</v>
      </c>
      <c r="U14" s="24" t="n">
        <f aca="false">U9*Assumptions!$B$63</f>
        <v>17</v>
      </c>
      <c r="V14" s="24" t="n">
        <f aca="false">V9*Assumptions!$B$63</f>
        <v>18</v>
      </c>
      <c r="W14" s="24" t="n">
        <f aca="false">W9*Assumptions!$B$63</f>
        <v>19</v>
      </c>
      <c r="X14" s="24" t="n">
        <f aca="false">X9*Assumptions!$B$63</f>
        <v>20</v>
      </c>
      <c r="Y14" s="24" t="n">
        <f aca="false">Y9*Assumptions!$B$63</f>
        <v>21</v>
      </c>
      <c r="Z14" s="24" t="n">
        <f aca="false">Z9*Assumptions!$B$63</f>
        <v>22</v>
      </c>
      <c r="AA14" s="24" t="n">
        <f aca="false">AA9*Assumptions!$B$63</f>
        <v>23</v>
      </c>
      <c r="AB14" s="24" t="n">
        <f aca="false">AB9*Assumptions!$B$63</f>
        <v>24</v>
      </c>
      <c r="AC14" s="24" t="n">
        <f aca="false">AC9*Assumptions!$B$63</f>
        <v>25</v>
      </c>
      <c r="AD14" s="24" t="n">
        <f aca="false">AD9*Assumptions!$B$63</f>
        <v>26</v>
      </c>
      <c r="AE14" s="24" t="n">
        <f aca="false">AE9*Assumptions!$B$63</f>
        <v>27</v>
      </c>
      <c r="AF14" s="24" t="n">
        <f aca="false">AF9*Assumptions!$B$63</f>
        <v>28</v>
      </c>
      <c r="AG14" s="24" t="n">
        <f aca="false">AG9*Assumptions!$B$63</f>
        <v>29</v>
      </c>
      <c r="AH14" s="24" t="n">
        <f aca="false">AH9*Assumptions!$B$63</f>
        <v>30</v>
      </c>
      <c r="AI14" s="24" t="n">
        <f aca="false">AI9*Assumptions!$B$63</f>
        <v>31</v>
      </c>
      <c r="AJ14" s="24" t="n">
        <f aca="false">AJ9*Assumptions!$B$63</f>
        <v>32</v>
      </c>
      <c r="AK14" s="24" t="n">
        <f aca="false">AK9*Assumptions!$B$63</f>
        <v>33</v>
      </c>
    </row>
    <row r="15" customFormat="false" ht="15" hidden="false" customHeight="false" outlineLevel="0" collapsed="false">
      <c r="A15" s="4" t="s">
        <v>158</v>
      </c>
      <c r="B15" s="24" t="n">
        <f aca="false">B10*Assumptions!$B$67</f>
        <v>2</v>
      </c>
      <c r="C15" s="24" t="n">
        <f aca="false">C10*Assumptions!$B$67</f>
        <v>3</v>
      </c>
      <c r="D15" s="24" t="n">
        <f aca="false">D10*Assumptions!$B$67</f>
        <v>4</v>
      </c>
      <c r="E15" s="24" t="n">
        <f aca="false">E10*Assumptions!$B$67</f>
        <v>5</v>
      </c>
      <c r="F15" s="24" t="n">
        <f aca="false">F10*Assumptions!$B$67</f>
        <v>6</v>
      </c>
      <c r="G15" s="24" t="n">
        <f aca="false">G10*Assumptions!$B$67</f>
        <v>7</v>
      </c>
      <c r="H15" s="24" t="n">
        <f aca="false">H10*Assumptions!$B$67</f>
        <v>8</v>
      </c>
      <c r="I15" s="24" t="n">
        <f aca="false">I10*Assumptions!$B$67</f>
        <v>8</v>
      </c>
      <c r="J15" s="24" t="n">
        <f aca="false">J10*Assumptions!$B$67</f>
        <v>9</v>
      </c>
      <c r="K15" s="24" t="n">
        <f aca="false">K10*Assumptions!$B$67</f>
        <v>10</v>
      </c>
      <c r="L15" s="24" t="n">
        <f aca="false">L10*Assumptions!$B$67</f>
        <v>10</v>
      </c>
      <c r="M15" s="24" t="n">
        <f aca="false">M10*Assumptions!$B$67</f>
        <v>10</v>
      </c>
      <c r="N15" s="24" t="n">
        <f aca="false">N10*Assumptions!$B$67</f>
        <v>12</v>
      </c>
      <c r="O15" s="24" t="n">
        <f aca="false">O10*Assumptions!$B$67</f>
        <v>14</v>
      </c>
      <c r="P15" s="24" t="n">
        <f aca="false">P10*Assumptions!$B$67</f>
        <v>16</v>
      </c>
      <c r="Q15" s="24" t="n">
        <f aca="false">Q10*Assumptions!$B$67</f>
        <v>18</v>
      </c>
      <c r="R15" s="24" t="n">
        <f aca="false">R10*Assumptions!$B$67</f>
        <v>20</v>
      </c>
      <c r="S15" s="24" t="n">
        <f aca="false">S10*Assumptions!$B$67</f>
        <v>20</v>
      </c>
      <c r="T15" s="24" t="n">
        <f aca="false">T10*Assumptions!$B$67</f>
        <v>22</v>
      </c>
      <c r="U15" s="24" t="n">
        <f aca="false">U10*Assumptions!$B$67</f>
        <v>22</v>
      </c>
      <c r="V15" s="24" t="n">
        <f aca="false">V10*Assumptions!$B$67</f>
        <v>24</v>
      </c>
      <c r="W15" s="24" t="n">
        <f aca="false">W10*Assumptions!$B$67</f>
        <v>24</v>
      </c>
      <c r="X15" s="24" t="n">
        <f aca="false">X10*Assumptions!$B$67</f>
        <v>25</v>
      </c>
      <c r="Y15" s="24" t="n">
        <f aca="false">Y10*Assumptions!$B$67</f>
        <v>25</v>
      </c>
      <c r="Z15" s="24" t="n">
        <f aca="false">Z10*Assumptions!$B$67</f>
        <v>25</v>
      </c>
      <c r="AA15" s="24" t="n">
        <f aca="false">AA10*Assumptions!$B$67</f>
        <v>26</v>
      </c>
      <c r="AB15" s="24" t="n">
        <f aca="false">AB10*Assumptions!$B$67</f>
        <v>26</v>
      </c>
      <c r="AC15" s="24" t="n">
        <f aca="false">AC10*Assumptions!$B$67</f>
        <v>27</v>
      </c>
      <c r="AD15" s="24" t="n">
        <f aca="false">AD10*Assumptions!$B$67</f>
        <v>27</v>
      </c>
      <c r="AE15" s="24" t="n">
        <f aca="false">AE10*Assumptions!$B$67</f>
        <v>28</v>
      </c>
      <c r="AF15" s="24" t="n">
        <f aca="false">AF10*Assumptions!$B$67</f>
        <v>28</v>
      </c>
      <c r="AG15" s="24" t="n">
        <f aca="false">AG10*Assumptions!$B$67</f>
        <v>29</v>
      </c>
      <c r="AH15" s="24" t="n">
        <f aca="false">AH10*Assumptions!$B$67</f>
        <v>29</v>
      </c>
      <c r="AI15" s="24" t="n">
        <f aca="false">AI10*Assumptions!$B$67</f>
        <v>30</v>
      </c>
      <c r="AJ15" s="24" t="n">
        <f aca="false">AJ10*Assumptions!$B$67</f>
        <v>30</v>
      </c>
      <c r="AK15" s="24" t="n">
        <f aca="false">AK10*Assumptions!$B$67</f>
        <v>30</v>
      </c>
    </row>
    <row r="16" customFormat="false" ht="15" hidden="false" customHeight="false" outlineLevel="0" collapsed="false">
      <c r="A16" s="4" t="s">
        <v>159</v>
      </c>
      <c r="B16" s="16" t="n">
        <f aca="false">INDEX(Assumptions!$B$56:$D$56,1,B5)*Assumptions!$B$64</f>
        <v>0.04</v>
      </c>
      <c r="C16" s="16" t="n">
        <f aca="false">INDEX(Assumptions!$B$56:$D$56,1,C5)*Assumptions!$B$64</f>
        <v>0.04</v>
      </c>
      <c r="D16" s="16" t="n">
        <f aca="false">INDEX(Assumptions!$B$56:$D$56,1,D5)*Assumptions!$B$64</f>
        <v>0.04</v>
      </c>
      <c r="E16" s="16" t="n">
        <f aca="false">INDEX(Assumptions!$B$56:$D$56,1,E5)*Assumptions!$B$64</f>
        <v>0.04</v>
      </c>
      <c r="F16" s="16" t="n">
        <f aca="false">INDEX(Assumptions!$B$56:$D$56,1,F5)*Assumptions!$B$64</f>
        <v>0.04</v>
      </c>
      <c r="G16" s="16" t="n">
        <f aca="false">INDEX(Assumptions!$B$56:$D$56,1,G5)*Assumptions!$B$64</f>
        <v>0.04</v>
      </c>
      <c r="H16" s="16" t="n">
        <f aca="false">INDEX(Assumptions!$B$56:$D$56,1,H5)*Assumptions!$B$64</f>
        <v>0.04</v>
      </c>
      <c r="I16" s="16" t="n">
        <f aca="false">INDEX(Assumptions!$B$56:$D$56,1,I5)*Assumptions!$B$64</f>
        <v>0.04</v>
      </c>
      <c r="J16" s="16" t="n">
        <f aca="false">INDEX(Assumptions!$B$56:$D$56,1,J5)*Assumptions!$B$64</f>
        <v>0.04</v>
      </c>
      <c r="K16" s="16" t="n">
        <f aca="false">INDEX(Assumptions!$B$56:$D$56,1,K5)*Assumptions!$B$64</f>
        <v>0.04</v>
      </c>
      <c r="L16" s="16" t="n">
        <f aca="false">INDEX(Assumptions!$B$56:$D$56,1,L5)*Assumptions!$B$64</f>
        <v>0.04</v>
      </c>
      <c r="M16" s="16" t="n">
        <f aca="false">INDEX(Assumptions!$B$56:$D$56,1,M5)*Assumptions!$B$64</f>
        <v>0.04</v>
      </c>
      <c r="N16" s="16" t="n">
        <f aca="false">INDEX(Assumptions!$B$56:$D$56,1,N5)*Assumptions!$B$64</f>
        <v>0.05</v>
      </c>
      <c r="O16" s="16" t="n">
        <f aca="false">INDEX(Assumptions!$B$56:$D$56,1,O5)*Assumptions!$B$64</f>
        <v>0.05</v>
      </c>
      <c r="P16" s="16" t="n">
        <f aca="false">INDEX(Assumptions!$B$56:$D$56,1,P5)*Assumptions!$B$64</f>
        <v>0.05</v>
      </c>
      <c r="Q16" s="16" t="n">
        <f aca="false">INDEX(Assumptions!$B$56:$D$56,1,Q5)*Assumptions!$B$64</f>
        <v>0.05</v>
      </c>
      <c r="R16" s="16" t="n">
        <f aca="false">INDEX(Assumptions!$B$56:$D$56,1,R5)*Assumptions!$B$64</f>
        <v>0.05</v>
      </c>
      <c r="S16" s="16" t="n">
        <f aca="false">INDEX(Assumptions!$B$56:$D$56,1,S5)*Assumptions!$B$64</f>
        <v>0.05</v>
      </c>
      <c r="T16" s="16" t="n">
        <f aca="false">INDEX(Assumptions!$B$56:$D$56,1,T5)*Assumptions!$B$64</f>
        <v>0.05</v>
      </c>
      <c r="U16" s="16" t="n">
        <f aca="false">INDEX(Assumptions!$B$56:$D$56,1,U5)*Assumptions!$B$64</f>
        <v>0.05</v>
      </c>
      <c r="V16" s="16" t="n">
        <f aca="false">INDEX(Assumptions!$B$56:$D$56,1,V5)*Assumptions!$B$64</f>
        <v>0.05</v>
      </c>
      <c r="W16" s="16" t="n">
        <f aca="false">INDEX(Assumptions!$B$56:$D$56,1,W5)*Assumptions!$B$64</f>
        <v>0.05</v>
      </c>
      <c r="X16" s="16" t="n">
        <f aca="false">INDEX(Assumptions!$B$56:$D$56,1,X5)*Assumptions!$B$64</f>
        <v>0.05</v>
      </c>
      <c r="Y16" s="16" t="n">
        <f aca="false">INDEX(Assumptions!$B$56:$D$56,1,Y5)*Assumptions!$B$64</f>
        <v>0.05</v>
      </c>
      <c r="Z16" s="16" t="n">
        <f aca="false">INDEX(Assumptions!$B$56:$D$56,1,Z5)*Assumptions!$B$64</f>
        <v>0.06</v>
      </c>
      <c r="AA16" s="16" t="n">
        <f aca="false">INDEX(Assumptions!$B$56:$D$56,1,AA5)*Assumptions!$B$64</f>
        <v>0.06</v>
      </c>
      <c r="AB16" s="16" t="n">
        <f aca="false">INDEX(Assumptions!$B$56:$D$56,1,AB5)*Assumptions!$B$64</f>
        <v>0.06</v>
      </c>
      <c r="AC16" s="16" t="n">
        <f aca="false">INDEX(Assumptions!$B$56:$D$56,1,AC5)*Assumptions!$B$64</f>
        <v>0.06</v>
      </c>
      <c r="AD16" s="16" t="n">
        <f aca="false">INDEX(Assumptions!$B$56:$D$56,1,AD5)*Assumptions!$B$64</f>
        <v>0.06</v>
      </c>
      <c r="AE16" s="16" t="n">
        <f aca="false">INDEX(Assumptions!$B$56:$D$56,1,AE5)*Assumptions!$B$64</f>
        <v>0.06</v>
      </c>
      <c r="AF16" s="16" t="n">
        <f aca="false">INDEX(Assumptions!$B$56:$D$56,1,AF5)*Assumptions!$B$64</f>
        <v>0.06</v>
      </c>
      <c r="AG16" s="16" t="n">
        <f aca="false">INDEX(Assumptions!$B$56:$D$56,1,AG5)*Assumptions!$B$64</f>
        <v>0.06</v>
      </c>
      <c r="AH16" s="16" t="n">
        <f aca="false">INDEX(Assumptions!$B$56:$D$56,1,AH5)*Assumptions!$B$64</f>
        <v>0.06</v>
      </c>
      <c r="AI16" s="16" t="n">
        <f aca="false">INDEX(Assumptions!$B$56:$D$56,1,AI5)*Assumptions!$B$64</f>
        <v>0.06</v>
      </c>
      <c r="AJ16" s="16" t="n">
        <f aca="false">INDEX(Assumptions!$B$56:$D$56,1,AJ5)*Assumptions!$B$64</f>
        <v>0.06</v>
      </c>
      <c r="AK16" s="16" t="n">
        <f aca="false">INDEX(Assumptions!$B$56:$D$56,1,AK5)*Assumptions!$B$64</f>
        <v>0.06</v>
      </c>
    </row>
    <row r="17" customFormat="false" ht="15" hidden="false" customHeight="false" outlineLevel="0" collapsed="false">
      <c r="A17" s="4" t="s">
        <v>160</v>
      </c>
      <c r="B17" s="16" t="n">
        <f aca="false">INDEX(Assumptions!$B$57:$D$57,1,B5)</f>
        <v>0.5</v>
      </c>
      <c r="C17" s="16" t="n">
        <f aca="false">INDEX(Assumptions!$B$57:$D$57,1,C5)</f>
        <v>0.5</v>
      </c>
      <c r="D17" s="16" t="n">
        <f aca="false">INDEX(Assumptions!$B$57:$D$57,1,D5)</f>
        <v>0.5</v>
      </c>
      <c r="E17" s="16" t="n">
        <f aca="false">INDEX(Assumptions!$B$57:$D$57,1,E5)</f>
        <v>0.5</v>
      </c>
      <c r="F17" s="16" t="n">
        <f aca="false">INDEX(Assumptions!$B$57:$D$57,1,F5)</f>
        <v>0.5</v>
      </c>
      <c r="G17" s="16" t="n">
        <f aca="false">INDEX(Assumptions!$B$57:$D$57,1,G5)</f>
        <v>0.5</v>
      </c>
      <c r="H17" s="16" t="n">
        <f aca="false">INDEX(Assumptions!$B$57:$D$57,1,H5)</f>
        <v>0.5</v>
      </c>
      <c r="I17" s="16" t="n">
        <f aca="false">INDEX(Assumptions!$B$57:$D$57,1,I5)</f>
        <v>0.5</v>
      </c>
      <c r="J17" s="16" t="n">
        <f aca="false">INDEX(Assumptions!$B$57:$D$57,1,J5)</f>
        <v>0.5</v>
      </c>
      <c r="K17" s="16" t="n">
        <f aca="false">INDEX(Assumptions!$B$57:$D$57,1,K5)</f>
        <v>0.5</v>
      </c>
      <c r="L17" s="16" t="n">
        <f aca="false">INDEX(Assumptions!$B$57:$D$57,1,L5)</f>
        <v>0.5</v>
      </c>
      <c r="M17" s="16" t="n">
        <f aca="false">INDEX(Assumptions!$B$57:$D$57,1,M5)</f>
        <v>0.5</v>
      </c>
      <c r="N17" s="16" t="n">
        <f aca="false">INDEX(Assumptions!$B$57:$D$57,1,N5)</f>
        <v>0.6</v>
      </c>
      <c r="O17" s="16" t="n">
        <f aca="false">INDEX(Assumptions!$B$57:$D$57,1,O5)</f>
        <v>0.6</v>
      </c>
      <c r="P17" s="16" t="n">
        <f aca="false">INDEX(Assumptions!$B$57:$D$57,1,P5)</f>
        <v>0.6</v>
      </c>
      <c r="Q17" s="16" t="n">
        <f aca="false">INDEX(Assumptions!$B$57:$D$57,1,Q5)</f>
        <v>0.6</v>
      </c>
      <c r="R17" s="16" t="n">
        <f aca="false">INDEX(Assumptions!$B$57:$D$57,1,R5)</f>
        <v>0.6</v>
      </c>
      <c r="S17" s="16" t="n">
        <f aca="false">INDEX(Assumptions!$B$57:$D$57,1,S5)</f>
        <v>0.6</v>
      </c>
      <c r="T17" s="16" t="n">
        <f aca="false">INDEX(Assumptions!$B$57:$D$57,1,T5)</f>
        <v>0.6</v>
      </c>
      <c r="U17" s="16" t="n">
        <f aca="false">INDEX(Assumptions!$B$57:$D$57,1,U5)</f>
        <v>0.6</v>
      </c>
      <c r="V17" s="16" t="n">
        <f aca="false">INDEX(Assumptions!$B$57:$D$57,1,V5)</f>
        <v>0.6</v>
      </c>
      <c r="W17" s="16" t="n">
        <f aca="false">INDEX(Assumptions!$B$57:$D$57,1,W5)</f>
        <v>0.6</v>
      </c>
      <c r="X17" s="16" t="n">
        <f aca="false">INDEX(Assumptions!$B$57:$D$57,1,X5)</f>
        <v>0.6</v>
      </c>
      <c r="Y17" s="16" t="n">
        <f aca="false">INDEX(Assumptions!$B$57:$D$57,1,Y5)</f>
        <v>0.6</v>
      </c>
      <c r="Z17" s="16" t="n">
        <f aca="false">INDEX(Assumptions!$B$57:$D$57,1,Z5)</f>
        <v>0.65</v>
      </c>
      <c r="AA17" s="16" t="n">
        <f aca="false">INDEX(Assumptions!$B$57:$D$57,1,AA5)</f>
        <v>0.65</v>
      </c>
      <c r="AB17" s="16" t="n">
        <f aca="false">INDEX(Assumptions!$B$57:$D$57,1,AB5)</f>
        <v>0.65</v>
      </c>
      <c r="AC17" s="16" t="n">
        <f aca="false">INDEX(Assumptions!$B$57:$D$57,1,AC5)</f>
        <v>0.65</v>
      </c>
      <c r="AD17" s="16" t="n">
        <f aca="false">INDEX(Assumptions!$B$57:$D$57,1,AD5)</f>
        <v>0.65</v>
      </c>
      <c r="AE17" s="16" t="n">
        <f aca="false">INDEX(Assumptions!$B$57:$D$57,1,AE5)</f>
        <v>0.65</v>
      </c>
      <c r="AF17" s="16" t="n">
        <f aca="false">INDEX(Assumptions!$B$57:$D$57,1,AF5)</f>
        <v>0.65</v>
      </c>
      <c r="AG17" s="16" t="n">
        <f aca="false">INDEX(Assumptions!$B$57:$D$57,1,AG5)</f>
        <v>0.65</v>
      </c>
      <c r="AH17" s="16" t="n">
        <f aca="false">INDEX(Assumptions!$B$57:$D$57,1,AH5)</f>
        <v>0.65</v>
      </c>
      <c r="AI17" s="16" t="n">
        <f aca="false">INDEX(Assumptions!$B$57:$D$57,1,AI5)</f>
        <v>0.65</v>
      </c>
      <c r="AJ17" s="16" t="n">
        <f aca="false">INDEX(Assumptions!$B$57:$D$57,1,AJ5)</f>
        <v>0.65</v>
      </c>
      <c r="AK17" s="16" t="n">
        <f aca="false">INDEX(Assumptions!$B$57:$D$57,1,AK5)</f>
        <v>0.65</v>
      </c>
    </row>
    <row r="18" customFormat="false" ht="15" hidden="false" customHeight="false" outlineLevel="0" collapsed="false">
      <c r="A18" s="4" t="s">
        <v>161</v>
      </c>
      <c r="B18" s="36" t="n">
        <f aca="false">INDEX(Assumptions!$B$58:$D$58,1,B5)*Assumptions!$B$68</f>
        <v>1.5</v>
      </c>
      <c r="C18" s="36" t="n">
        <f aca="false">INDEX(Assumptions!$B$58:$D$58,1,C5)*Assumptions!$B$68</f>
        <v>1.5</v>
      </c>
      <c r="D18" s="36" t="n">
        <f aca="false">INDEX(Assumptions!$B$58:$D$58,1,D5)*Assumptions!$B$68</f>
        <v>1.5</v>
      </c>
      <c r="E18" s="36" t="n">
        <f aca="false">INDEX(Assumptions!$B$58:$D$58,1,E5)*Assumptions!$B$68</f>
        <v>1.5</v>
      </c>
      <c r="F18" s="36" t="n">
        <f aca="false">INDEX(Assumptions!$B$58:$D$58,1,F5)*Assumptions!$B$68</f>
        <v>1.5</v>
      </c>
      <c r="G18" s="36" t="n">
        <f aca="false">INDEX(Assumptions!$B$58:$D$58,1,G5)*Assumptions!$B$68</f>
        <v>1.5</v>
      </c>
      <c r="H18" s="36" t="n">
        <f aca="false">INDEX(Assumptions!$B$58:$D$58,1,H5)*Assumptions!$B$68</f>
        <v>1.5</v>
      </c>
      <c r="I18" s="36" t="n">
        <f aca="false">INDEX(Assumptions!$B$58:$D$58,1,I5)*Assumptions!$B$68</f>
        <v>1.5</v>
      </c>
      <c r="J18" s="36" t="n">
        <f aca="false">INDEX(Assumptions!$B$58:$D$58,1,J5)*Assumptions!$B$68</f>
        <v>1.5</v>
      </c>
      <c r="K18" s="36" t="n">
        <f aca="false">INDEX(Assumptions!$B$58:$D$58,1,K5)*Assumptions!$B$68</f>
        <v>1.5</v>
      </c>
      <c r="L18" s="36" t="n">
        <f aca="false">INDEX(Assumptions!$B$58:$D$58,1,L5)*Assumptions!$B$68</f>
        <v>1.5</v>
      </c>
      <c r="M18" s="36" t="n">
        <f aca="false">INDEX(Assumptions!$B$58:$D$58,1,M5)*Assumptions!$B$68</f>
        <v>1.5</v>
      </c>
      <c r="N18" s="36" t="n">
        <f aca="false">INDEX(Assumptions!$B$58:$D$58,1,N5)*Assumptions!$B$68</f>
        <v>3</v>
      </c>
      <c r="O18" s="36" t="n">
        <f aca="false">INDEX(Assumptions!$B$58:$D$58,1,O5)*Assumptions!$B$68</f>
        <v>3</v>
      </c>
      <c r="P18" s="36" t="n">
        <f aca="false">INDEX(Assumptions!$B$58:$D$58,1,P5)*Assumptions!$B$68</f>
        <v>3</v>
      </c>
      <c r="Q18" s="36" t="n">
        <f aca="false">INDEX(Assumptions!$B$58:$D$58,1,Q5)*Assumptions!$B$68</f>
        <v>3</v>
      </c>
      <c r="R18" s="36" t="n">
        <f aca="false">INDEX(Assumptions!$B$58:$D$58,1,R5)*Assumptions!$B$68</f>
        <v>3</v>
      </c>
      <c r="S18" s="36" t="n">
        <f aca="false">INDEX(Assumptions!$B$58:$D$58,1,S5)*Assumptions!$B$68</f>
        <v>3</v>
      </c>
      <c r="T18" s="36" t="n">
        <f aca="false">INDEX(Assumptions!$B$58:$D$58,1,T5)*Assumptions!$B$68</f>
        <v>3</v>
      </c>
      <c r="U18" s="36" t="n">
        <f aca="false">INDEX(Assumptions!$B$58:$D$58,1,U5)*Assumptions!$B$68</f>
        <v>3</v>
      </c>
      <c r="V18" s="36" t="n">
        <f aca="false">INDEX(Assumptions!$B$58:$D$58,1,V5)*Assumptions!$B$68</f>
        <v>3</v>
      </c>
      <c r="W18" s="36" t="n">
        <f aca="false">INDEX(Assumptions!$B$58:$D$58,1,W5)*Assumptions!$B$68</f>
        <v>3</v>
      </c>
      <c r="X18" s="36" t="n">
        <f aca="false">INDEX(Assumptions!$B$58:$D$58,1,X5)*Assumptions!$B$68</f>
        <v>3</v>
      </c>
      <c r="Y18" s="36" t="n">
        <f aca="false">INDEX(Assumptions!$B$58:$D$58,1,Y5)*Assumptions!$B$68</f>
        <v>3</v>
      </c>
      <c r="Z18" s="36" t="n">
        <f aca="false">INDEX(Assumptions!$B$58:$D$58,1,Z5)*Assumptions!$B$68</f>
        <v>4</v>
      </c>
      <c r="AA18" s="36" t="n">
        <f aca="false">INDEX(Assumptions!$B$58:$D$58,1,AA5)*Assumptions!$B$68</f>
        <v>4</v>
      </c>
      <c r="AB18" s="36" t="n">
        <f aca="false">INDEX(Assumptions!$B$58:$D$58,1,AB5)*Assumptions!$B$68</f>
        <v>4</v>
      </c>
      <c r="AC18" s="36" t="n">
        <f aca="false">INDEX(Assumptions!$B$58:$D$58,1,AC5)*Assumptions!$B$68</f>
        <v>4</v>
      </c>
      <c r="AD18" s="36" t="n">
        <f aca="false">INDEX(Assumptions!$B$58:$D$58,1,AD5)*Assumptions!$B$68</f>
        <v>4</v>
      </c>
      <c r="AE18" s="36" t="n">
        <f aca="false">INDEX(Assumptions!$B$58:$D$58,1,AE5)*Assumptions!$B$68</f>
        <v>4</v>
      </c>
      <c r="AF18" s="36" t="n">
        <f aca="false">INDEX(Assumptions!$B$58:$D$58,1,AF5)*Assumptions!$B$68</f>
        <v>4</v>
      </c>
      <c r="AG18" s="36" t="n">
        <f aca="false">INDEX(Assumptions!$B$58:$D$58,1,AG5)*Assumptions!$B$68</f>
        <v>4</v>
      </c>
      <c r="AH18" s="36" t="n">
        <f aca="false">INDEX(Assumptions!$B$58:$D$58,1,AH5)*Assumptions!$B$68</f>
        <v>4</v>
      </c>
      <c r="AI18" s="36" t="n">
        <f aca="false">INDEX(Assumptions!$B$58:$D$58,1,AI5)*Assumptions!$B$68</f>
        <v>4</v>
      </c>
      <c r="AJ18" s="36" t="n">
        <f aca="false">INDEX(Assumptions!$B$58:$D$58,1,AJ5)*Assumptions!$B$68</f>
        <v>4</v>
      </c>
      <c r="AK18" s="36" t="n">
        <f aca="false">INDEX(Assumptions!$B$58:$D$58,1,AK5)*Assumptions!$B$68</f>
        <v>4</v>
      </c>
    </row>
    <row r="19" customFormat="false" ht="15" hidden="false" customHeight="false" outlineLevel="0" collapsed="false">
      <c r="A19" s="4" t="s">
        <v>162</v>
      </c>
      <c r="B19" s="16" t="n">
        <f aca="false">INDEX(Assumptions!$B$59:$D$59,1,B5)</f>
        <v>0.05</v>
      </c>
      <c r="C19" s="16" t="n">
        <f aca="false">INDEX(Assumptions!$B$59:$D$59,1,C5)</f>
        <v>0.05</v>
      </c>
      <c r="D19" s="16" t="n">
        <f aca="false">INDEX(Assumptions!$B$59:$D$59,1,D5)</f>
        <v>0.05</v>
      </c>
      <c r="E19" s="16" t="n">
        <f aca="false">INDEX(Assumptions!$B$59:$D$59,1,E5)</f>
        <v>0.05</v>
      </c>
      <c r="F19" s="16" t="n">
        <f aca="false">INDEX(Assumptions!$B$59:$D$59,1,F5)</f>
        <v>0.05</v>
      </c>
      <c r="G19" s="16" t="n">
        <f aca="false">INDEX(Assumptions!$B$59:$D$59,1,G5)</f>
        <v>0.05</v>
      </c>
      <c r="H19" s="16" t="n">
        <f aca="false">INDEX(Assumptions!$B$59:$D$59,1,H5)</f>
        <v>0.05</v>
      </c>
      <c r="I19" s="16" t="n">
        <f aca="false">INDEX(Assumptions!$B$59:$D$59,1,I5)</f>
        <v>0.05</v>
      </c>
      <c r="J19" s="16" t="n">
        <f aca="false">INDEX(Assumptions!$B$59:$D$59,1,J5)</f>
        <v>0.05</v>
      </c>
      <c r="K19" s="16" t="n">
        <f aca="false">INDEX(Assumptions!$B$59:$D$59,1,K5)</f>
        <v>0.05</v>
      </c>
      <c r="L19" s="16" t="n">
        <f aca="false">INDEX(Assumptions!$B$59:$D$59,1,L5)</f>
        <v>0.05</v>
      </c>
      <c r="M19" s="16" t="n">
        <f aca="false">INDEX(Assumptions!$B$59:$D$59,1,M5)</f>
        <v>0.05</v>
      </c>
      <c r="N19" s="16" t="n">
        <f aca="false">INDEX(Assumptions!$B$59:$D$59,1,N5)</f>
        <v>0.05</v>
      </c>
      <c r="O19" s="16" t="n">
        <f aca="false">INDEX(Assumptions!$B$59:$D$59,1,O5)</f>
        <v>0.05</v>
      </c>
      <c r="P19" s="16" t="n">
        <f aca="false">INDEX(Assumptions!$B$59:$D$59,1,P5)</f>
        <v>0.05</v>
      </c>
      <c r="Q19" s="16" t="n">
        <f aca="false">INDEX(Assumptions!$B$59:$D$59,1,Q5)</f>
        <v>0.05</v>
      </c>
      <c r="R19" s="16" t="n">
        <f aca="false">INDEX(Assumptions!$B$59:$D$59,1,R5)</f>
        <v>0.05</v>
      </c>
      <c r="S19" s="16" t="n">
        <f aca="false">INDEX(Assumptions!$B$59:$D$59,1,S5)</f>
        <v>0.05</v>
      </c>
      <c r="T19" s="16" t="n">
        <f aca="false">INDEX(Assumptions!$B$59:$D$59,1,T5)</f>
        <v>0.05</v>
      </c>
      <c r="U19" s="16" t="n">
        <f aca="false">INDEX(Assumptions!$B$59:$D$59,1,U5)</f>
        <v>0.05</v>
      </c>
      <c r="V19" s="16" t="n">
        <f aca="false">INDEX(Assumptions!$B$59:$D$59,1,V5)</f>
        <v>0.05</v>
      </c>
      <c r="W19" s="16" t="n">
        <f aca="false">INDEX(Assumptions!$B$59:$D$59,1,W5)</f>
        <v>0.05</v>
      </c>
      <c r="X19" s="16" t="n">
        <f aca="false">INDEX(Assumptions!$B$59:$D$59,1,X5)</f>
        <v>0.05</v>
      </c>
      <c r="Y19" s="16" t="n">
        <f aca="false">INDEX(Assumptions!$B$59:$D$59,1,Y5)</f>
        <v>0.05</v>
      </c>
      <c r="Z19" s="16" t="n">
        <f aca="false">INDEX(Assumptions!$B$59:$D$59,1,Z5)</f>
        <v>0.03</v>
      </c>
      <c r="AA19" s="16" t="n">
        <f aca="false">INDEX(Assumptions!$B$59:$D$59,1,AA5)</f>
        <v>0.03</v>
      </c>
      <c r="AB19" s="16" t="n">
        <f aca="false">INDEX(Assumptions!$B$59:$D$59,1,AB5)</f>
        <v>0.03</v>
      </c>
      <c r="AC19" s="16" t="n">
        <f aca="false">INDEX(Assumptions!$B$59:$D$59,1,AC5)</f>
        <v>0.03</v>
      </c>
      <c r="AD19" s="16" t="n">
        <f aca="false">INDEX(Assumptions!$B$59:$D$59,1,AD5)</f>
        <v>0.03</v>
      </c>
      <c r="AE19" s="16" t="n">
        <f aca="false">INDEX(Assumptions!$B$59:$D$59,1,AE5)</f>
        <v>0.03</v>
      </c>
      <c r="AF19" s="16" t="n">
        <f aca="false">INDEX(Assumptions!$B$59:$D$59,1,AF5)</f>
        <v>0.03</v>
      </c>
      <c r="AG19" s="16" t="n">
        <f aca="false">INDEX(Assumptions!$B$59:$D$59,1,AG5)</f>
        <v>0.03</v>
      </c>
      <c r="AH19" s="16" t="n">
        <f aca="false">INDEX(Assumptions!$B$59:$D$59,1,AH5)</f>
        <v>0.03</v>
      </c>
      <c r="AI19" s="16" t="n">
        <f aca="false">INDEX(Assumptions!$B$59:$D$59,1,AI5)</f>
        <v>0.03</v>
      </c>
      <c r="AJ19" s="16" t="n">
        <f aca="false">INDEX(Assumptions!$B$59:$D$59,1,AJ5)</f>
        <v>0.03</v>
      </c>
      <c r="AK19" s="16" t="n">
        <f aca="false">INDEX(Assumptions!$B$59:$D$59,1,AK5)</f>
        <v>0.03</v>
      </c>
    </row>
    <row r="21" customFormat="false" ht="15" hidden="false" customHeight="false" outlineLevel="0" collapsed="false">
      <c r="A21" s="34" t="s">
        <v>163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customFormat="false" ht="15" hidden="false" customHeight="false" outlineLevel="0" collapsed="false">
      <c r="A22" s="4" t="s">
        <v>164</v>
      </c>
      <c r="B22" s="24" t="n">
        <f aca="false">B13*B16</f>
        <v>4</v>
      </c>
      <c r="C22" s="24" t="n">
        <f aca="false">C13*C16</f>
        <v>6</v>
      </c>
      <c r="D22" s="24" t="n">
        <f aca="false">D13*D16</f>
        <v>8.8</v>
      </c>
      <c r="E22" s="24" t="n">
        <f aca="false">E13*E16</f>
        <v>12</v>
      </c>
      <c r="F22" s="24" t="n">
        <f aca="false">F13*F16</f>
        <v>16</v>
      </c>
      <c r="G22" s="24" t="n">
        <f aca="false">G13*G16</f>
        <v>20</v>
      </c>
      <c r="H22" s="24" t="n">
        <f aca="false">H13*H16</f>
        <v>26</v>
      </c>
      <c r="I22" s="24" t="n">
        <f aca="false">I13*I16</f>
        <v>32</v>
      </c>
      <c r="J22" s="24" t="n">
        <f aca="false">J13*J16</f>
        <v>38</v>
      </c>
      <c r="K22" s="24" t="n">
        <f aca="false">K13*K16</f>
        <v>44</v>
      </c>
      <c r="L22" s="24" t="n">
        <f aca="false">L13*L16</f>
        <v>52</v>
      </c>
      <c r="M22" s="24" t="n">
        <f aca="false">M13*M16</f>
        <v>60</v>
      </c>
      <c r="N22" s="24" t="n">
        <f aca="false">N13*N16</f>
        <v>85</v>
      </c>
      <c r="O22" s="24" t="n">
        <f aca="false">O13*O16</f>
        <v>95</v>
      </c>
      <c r="P22" s="24" t="n">
        <f aca="false">P13*P16</f>
        <v>105</v>
      </c>
      <c r="Q22" s="24" t="n">
        <f aca="false">Q13*Q16</f>
        <v>115</v>
      </c>
      <c r="R22" s="24" t="n">
        <f aca="false">R13*R16</f>
        <v>125</v>
      </c>
      <c r="S22" s="24" t="n">
        <f aca="false">S13*S16</f>
        <v>135</v>
      </c>
      <c r="T22" s="24" t="n">
        <f aca="false">T13*T16</f>
        <v>145</v>
      </c>
      <c r="U22" s="24" t="n">
        <f aca="false">U13*U16</f>
        <v>155</v>
      </c>
      <c r="V22" s="24" t="n">
        <f aca="false">V13*V16</f>
        <v>165</v>
      </c>
      <c r="W22" s="24" t="n">
        <f aca="false">W13*W16</f>
        <v>175</v>
      </c>
      <c r="X22" s="24" t="n">
        <f aca="false">X13*X16</f>
        <v>185</v>
      </c>
      <c r="Y22" s="24" t="n">
        <f aca="false">Y13*Y16</f>
        <v>195</v>
      </c>
      <c r="Z22" s="24" t="n">
        <f aca="false">Z13*Z16</f>
        <v>246</v>
      </c>
      <c r="AA22" s="24" t="n">
        <f aca="false">AA13*AA16</f>
        <v>258</v>
      </c>
      <c r="AB22" s="24" t="n">
        <f aca="false">AB13*AB16</f>
        <v>270</v>
      </c>
      <c r="AC22" s="24" t="n">
        <f aca="false">AC13*AC16</f>
        <v>282</v>
      </c>
      <c r="AD22" s="24" t="n">
        <f aca="false">AD13*AD16</f>
        <v>294</v>
      </c>
      <c r="AE22" s="24" t="n">
        <f aca="false">AE13*AE16</f>
        <v>306</v>
      </c>
      <c r="AF22" s="24" t="n">
        <f aca="false">AF13*AF16</f>
        <v>318</v>
      </c>
      <c r="AG22" s="24" t="n">
        <f aca="false">AG13*AG16</f>
        <v>330</v>
      </c>
      <c r="AH22" s="24" t="n">
        <f aca="false">AH13*AH16</f>
        <v>342</v>
      </c>
      <c r="AI22" s="24" t="n">
        <f aca="false">AI13*AI16</f>
        <v>354</v>
      </c>
      <c r="AJ22" s="24" t="n">
        <f aca="false">AJ13*AJ16</f>
        <v>366</v>
      </c>
      <c r="AK22" s="24" t="n">
        <f aca="false">AK13*AK16</f>
        <v>378</v>
      </c>
    </row>
    <row r="23" customFormat="false" ht="15" hidden="false" customHeight="false" outlineLevel="0" collapsed="false">
      <c r="A23" s="4" t="s">
        <v>165</v>
      </c>
      <c r="B23" s="24" t="n">
        <f aca="false">B22*Assumptions!$B$12</f>
        <v>2.2</v>
      </c>
      <c r="C23" s="24" t="n">
        <f aca="false">C22*Assumptions!$B$12</f>
        <v>3.3</v>
      </c>
      <c r="D23" s="24" t="n">
        <f aca="false">D22*Assumptions!$B$12</f>
        <v>4.84</v>
      </c>
      <c r="E23" s="24" t="n">
        <f aca="false">E22*Assumptions!$B$12</f>
        <v>6.6</v>
      </c>
      <c r="F23" s="24" t="n">
        <f aca="false">F22*Assumptions!$B$12</f>
        <v>8.8</v>
      </c>
      <c r="G23" s="24" t="n">
        <f aca="false">G22*Assumptions!$B$12</f>
        <v>11</v>
      </c>
      <c r="H23" s="24" t="n">
        <f aca="false">H22*Assumptions!$B$12</f>
        <v>14.3</v>
      </c>
      <c r="I23" s="24" t="n">
        <f aca="false">I22*Assumptions!$B$12</f>
        <v>17.6</v>
      </c>
      <c r="J23" s="24" t="n">
        <f aca="false">J22*Assumptions!$B$12</f>
        <v>20.9</v>
      </c>
      <c r="K23" s="24" t="n">
        <f aca="false">K22*Assumptions!$B$12</f>
        <v>24.2</v>
      </c>
      <c r="L23" s="24" t="n">
        <f aca="false">L22*Assumptions!$B$12</f>
        <v>28.6</v>
      </c>
      <c r="M23" s="24" t="n">
        <f aca="false">M22*Assumptions!$B$12</f>
        <v>33</v>
      </c>
      <c r="N23" s="24" t="n">
        <f aca="false">N22*Assumptions!$B$12</f>
        <v>46.75</v>
      </c>
      <c r="O23" s="24" t="n">
        <f aca="false">O22*Assumptions!$B$12</f>
        <v>52.25</v>
      </c>
      <c r="P23" s="24" t="n">
        <f aca="false">P22*Assumptions!$B$12</f>
        <v>57.75</v>
      </c>
      <c r="Q23" s="24" t="n">
        <f aca="false">Q22*Assumptions!$B$12</f>
        <v>63.25</v>
      </c>
      <c r="R23" s="24" t="n">
        <f aca="false">R22*Assumptions!$B$12</f>
        <v>68.75</v>
      </c>
      <c r="S23" s="24" t="n">
        <f aca="false">S22*Assumptions!$B$12</f>
        <v>74.25</v>
      </c>
      <c r="T23" s="24" t="n">
        <f aca="false">T22*Assumptions!$B$12</f>
        <v>79.75</v>
      </c>
      <c r="U23" s="24" t="n">
        <f aca="false">U22*Assumptions!$B$12</f>
        <v>85.25</v>
      </c>
      <c r="V23" s="24" t="n">
        <f aca="false">V22*Assumptions!$B$12</f>
        <v>90.75</v>
      </c>
      <c r="W23" s="24" t="n">
        <f aca="false">W22*Assumptions!$B$12</f>
        <v>96.25</v>
      </c>
      <c r="X23" s="24" t="n">
        <f aca="false">X22*Assumptions!$B$12</f>
        <v>101.75</v>
      </c>
      <c r="Y23" s="24" t="n">
        <f aca="false">Y22*Assumptions!$B$12</f>
        <v>107.25</v>
      </c>
      <c r="Z23" s="24" t="n">
        <f aca="false">Z22*Assumptions!$B$12</f>
        <v>135.3</v>
      </c>
      <c r="AA23" s="24" t="n">
        <f aca="false">AA22*Assumptions!$B$12</f>
        <v>141.9</v>
      </c>
      <c r="AB23" s="24" t="n">
        <f aca="false">AB22*Assumptions!$B$12</f>
        <v>148.5</v>
      </c>
      <c r="AC23" s="24" t="n">
        <f aca="false">AC22*Assumptions!$B$12</f>
        <v>155.1</v>
      </c>
      <c r="AD23" s="24" t="n">
        <f aca="false">AD22*Assumptions!$B$12</f>
        <v>161.7</v>
      </c>
      <c r="AE23" s="24" t="n">
        <f aca="false">AE22*Assumptions!$B$12</f>
        <v>168.3</v>
      </c>
      <c r="AF23" s="24" t="n">
        <f aca="false">AF22*Assumptions!$B$12</f>
        <v>174.9</v>
      </c>
      <c r="AG23" s="24" t="n">
        <f aca="false">AG22*Assumptions!$B$12</f>
        <v>181.5</v>
      </c>
      <c r="AH23" s="24" t="n">
        <f aca="false">AH22*Assumptions!$B$12</f>
        <v>188.1</v>
      </c>
      <c r="AI23" s="24" t="n">
        <f aca="false">AI22*Assumptions!$B$12</f>
        <v>194.7</v>
      </c>
      <c r="AJ23" s="24" t="n">
        <f aca="false">AJ22*Assumptions!$B$12</f>
        <v>201.3</v>
      </c>
      <c r="AK23" s="24" t="n">
        <f aca="false">AK22*Assumptions!$B$12</f>
        <v>207.9</v>
      </c>
    </row>
    <row r="24" customFormat="false" ht="15" hidden="false" customHeight="false" outlineLevel="0" collapsed="false">
      <c r="A24" s="4" t="s">
        <v>166</v>
      </c>
      <c r="B24" s="24" t="n">
        <f aca="false">B22-B23</f>
        <v>1.8</v>
      </c>
      <c r="C24" s="24" t="n">
        <f aca="false">C22-C23</f>
        <v>2.7</v>
      </c>
      <c r="D24" s="24" t="n">
        <f aca="false">D22-D23</f>
        <v>3.96</v>
      </c>
      <c r="E24" s="24" t="n">
        <f aca="false">E22-E23</f>
        <v>5.4</v>
      </c>
      <c r="F24" s="24" t="n">
        <f aca="false">F22-F23</f>
        <v>7.2</v>
      </c>
      <c r="G24" s="24" t="n">
        <f aca="false">G22-G23</f>
        <v>9</v>
      </c>
      <c r="H24" s="24" t="n">
        <f aca="false">H22-H23</f>
        <v>11.7</v>
      </c>
      <c r="I24" s="24" t="n">
        <f aca="false">I22-I23</f>
        <v>14.4</v>
      </c>
      <c r="J24" s="24" t="n">
        <f aca="false">J22-J23</f>
        <v>17.1</v>
      </c>
      <c r="K24" s="24" t="n">
        <f aca="false">K22-K23</f>
        <v>19.8</v>
      </c>
      <c r="L24" s="24" t="n">
        <f aca="false">L22-L23</f>
        <v>23.4</v>
      </c>
      <c r="M24" s="24" t="n">
        <f aca="false">M22-M23</f>
        <v>27</v>
      </c>
      <c r="N24" s="24" t="n">
        <f aca="false">N22-N23</f>
        <v>38.25</v>
      </c>
      <c r="O24" s="24" t="n">
        <f aca="false">O22-O23</f>
        <v>42.75</v>
      </c>
      <c r="P24" s="24" t="n">
        <f aca="false">P22-P23</f>
        <v>47.25</v>
      </c>
      <c r="Q24" s="24" t="n">
        <f aca="false">Q22-Q23</f>
        <v>51.75</v>
      </c>
      <c r="R24" s="24" t="n">
        <f aca="false">R22-R23</f>
        <v>56.25</v>
      </c>
      <c r="S24" s="24" t="n">
        <f aca="false">S22-S23</f>
        <v>60.75</v>
      </c>
      <c r="T24" s="24" t="n">
        <f aca="false">T22-T23</f>
        <v>65.25</v>
      </c>
      <c r="U24" s="24" t="n">
        <f aca="false">U22-U23</f>
        <v>69.75</v>
      </c>
      <c r="V24" s="24" t="n">
        <f aca="false">V22-V23</f>
        <v>74.25</v>
      </c>
      <c r="W24" s="24" t="n">
        <f aca="false">W22-W23</f>
        <v>78.75</v>
      </c>
      <c r="X24" s="24" t="n">
        <f aca="false">X22-X23</f>
        <v>83.25</v>
      </c>
      <c r="Y24" s="24" t="n">
        <f aca="false">Y22-Y23</f>
        <v>87.75</v>
      </c>
      <c r="Z24" s="24" t="n">
        <f aca="false">Z22-Z23</f>
        <v>110.7</v>
      </c>
      <c r="AA24" s="24" t="n">
        <f aca="false">AA22-AA23</f>
        <v>116.1</v>
      </c>
      <c r="AB24" s="24" t="n">
        <f aca="false">AB22-AB23</f>
        <v>121.5</v>
      </c>
      <c r="AC24" s="24" t="n">
        <f aca="false">AC22-AC23</f>
        <v>126.9</v>
      </c>
      <c r="AD24" s="24" t="n">
        <f aca="false">AD22-AD23</f>
        <v>132.3</v>
      </c>
      <c r="AE24" s="24" t="n">
        <f aca="false">AE22-AE23</f>
        <v>137.7</v>
      </c>
      <c r="AF24" s="24" t="n">
        <f aca="false">AF22-AF23</f>
        <v>143.1</v>
      </c>
      <c r="AG24" s="24" t="n">
        <f aca="false">AG22-AG23</f>
        <v>148.5</v>
      </c>
      <c r="AH24" s="24" t="n">
        <f aca="false">AH22-AH23</f>
        <v>153.9</v>
      </c>
      <c r="AI24" s="24" t="n">
        <f aca="false">AI22-AI23</f>
        <v>159.3</v>
      </c>
      <c r="AJ24" s="24" t="n">
        <f aca="false">AJ22-AJ23</f>
        <v>164.7</v>
      </c>
      <c r="AK24" s="24" t="n">
        <f aca="false">AK22-AK23</f>
        <v>170.1</v>
      </c>
    </row>
    <row r="25" customFormat="false" ht="15" hidden="false" customHeight="false" outlineLevel="0" collapsed="false">
      <c r="A25" s="4" t="s">
        <v>167</v>
      </c>
      <c r="B25" s="24" t="n">
        <f aca="false">B24*B17</f>
        <v>0.9</v>
      </c>
      <c r="C25" s="24" t="n">
        <f aca="false">C24*C17</f>
        <v>1.35</v>
      </c>
      <c r="D25" s="24" t="n">
        <f aca="false">D24*D17</f>
        <v>1.98</v>
      </c>
      <c r="E25" s="24" t="n">
        <f aca="false">E24*E17</f>
        <v>2.7</v>
      </c>
      <c r="F25" s="24" t="n">
        <f aca="false">F24*F17</f>
        <v>3.6</v>
      </c>
      <c r="G25" s="24" t="n">
        <f aca="false">G24*G17</f>
        <v>4.5</v>
      </c>
      <c r="H25" s="24" t="n">
        <f aca="false">H24*H17</f>
        <v>5.85</v>
      </c>
      <c r="I25" s="24" t="n">
        <f aca="false">I24*I17</f>
        <v>7.2</v>
      </c>
      <c r="J25" s="24" t="n">
        <f aca="false">J24*J17</f>
        <v>8.55</v>
      </c>
      <c r="K25" s="24" t="n">
        <f aca="false">K24*K17</f>
        <v>9.9</v>
      </c>
      <c r="L25" s="24" t="n">
        <f aca="false">L24*L17</f>
        <v>11.7</v>
      </c>
      <c r="M25" s="24" t="n">
        <f aca="false">M24*M17</f>
        <v>13.5</v>
      </c>
      <c r="N25" s="24" t="n">
        <f aca="false">N24*N17</f>
        <v>22.95</v>
      </c>
      <c r="O25" s="24" t="n">
        <f aca="false">O24*O17</f>
        <v>25.65</v>
      </c>
      <c r="P25" s="24" t="n">
        <f aca="false">P24*P17</f>
        <v>28.35</v>
      </c>
      <c r="Q25" s="24" t="n">
        <f aca="false">Q24*Q17</f>
        <v>31.05</v>
      </c>
      <c r="R25" s="24" t="n">
        <f aca="false">R24*R17</f>
        <v>33.75</v>
      </c>
      <c r="S25" s="24" t="n">
        <f aca="false">S24*S17</f>
        <v>36.45</v>
      </c>
      <c r="T25" s="24" t="n">
        <f aca="false">T24*T17</f>
        <v>39.15</v>
      </c>
      <c r="U25" s="24" t="n">
        <f aca="false">U24*U17</f>
        <v>41.85</v>
      </c>
      <c r="V25" s="24" t="n">
        <f aca="false">V24*V17</f>
        <v>44.55</v>
      </c>
      <c r="W25" s="24" t="n">
        <f aca="false">W24*W17</f>
        <v>47.25</v>
      </c>
      <c r="X25" s="24" t="n">
        <f aca="false">X24*X17</f>
        <v>49.95</v>
      </c>
      <c r="Y25" s="24" t="n">
        <f aca="false">Y24*Y17</f>
        <v>52.65</v>
      </c>
      <c r="Z25" s="24" t="n">
        <f aca="false">Z24*Z17</f>
        <v>71.955</v>
      </c>
      <c r="AA25" s="24" t="n">
        <f aca="false">AA24*AA17</f>
        <v>75.465</v>
      </c>
      <c r="AB25" s="24" t="n">
        <f aca="false">AB24*AB17</f>
        <v>78.975</v>
      </c>
      <c r="AC25" s="24" t="n">
        <f aca="false">AC24*AC17</f>
        <v>82.485</v>
      </c>
      <c r="AD25" s="24" t="n">
        <f aca="false">AD24*AD17</f>
        <v>85.995</v>
      </c>
      <c r="AE25" s="24" t="n">
        <f aca="false">AE24*AE17</f>
        <v>89.505</v>
      </c>
      <c r="AF25" s="24" t="n">
        <f aca="false">AF24*AF17</f>
        <v>93.015</v>
      </c>
      <c r="AG25" s="24" t="n">
        <f aca="false">AG24*AG17</f>
        <v>96.525</v>
      </c>
      <c r="AH25" s="24" t="n">
        <f aca="false">AH24*AH17</f>
        <v>100.035</v>
      </c>
      <c r="AI25" s="24" t="n">
        <f aca="false">AI24*AI17</f>
        <v>103.545</v>
      </c>
      <c r="AJ25" s="24" t="n">
        <f aca="false">AJ24*AJ17</f>
        <v>107.055</v>
      </c>
      <c r="AK25" s="24" t="n">
        <f aca="false">AK24*AK17</f>
        <v>110.565</v>
      </c>
    </row>
    <row r="26" customFormat="false" ht="15" hidden="false" customHeight="false" outlineLevel="0" collapsed="false">
      <c r="A26" s="4" t="s">
        <v>168</v>
      </c>
      <c r="B26" s="24" t="n">
        <f aca="false">B24-B25</f>
        <v>0.9</v>
      </c>
      <c r="C26" s="24" t="n">
        <f aca="false">C24-C25</f>
        <v>1.35</v>
      </c>
      <c r="D26" s="24" t="n">
        <f aca="false">D24-D25</f>
        <v>1.98</v>
      </c>
      <c r="E26" s="24" t="n">
        <f aca="false">E24-E25</f>
        <v>2.7</v>
      </c>
      <c r="F26" s="24" t="n">
        <f aca="false">F24-F25</f>
        <v>3.6</v>
      </c>
      <c r="G26" s="24" t="n">
        <f aca="false">G24-G25</f>
        <v>4.5</v>
      </c>
      <c r="H26" s="24" t="n">
        <f aca="false">H24-H25</f>
        <v>5.85</v>
      </c>
      <c r="I26" s="24" t="n">
        <f aca="false">I24-I25</f>
        <v>7.2</v>
      </c>
      <c r="J26" s="24" t="n">
        <f aca="false">J24-J25</f>
        <v>8.55</v>
      </c>
      <c r="K26" s="24" t="n">
        <f aca="false">K24-K25</f>
        <v>9.9</v>
      </c>
      <c r="L26" s="24" t="n">
        <f aca="false">L24-L25</f>
        <v>11.7</v>
      </c>
      <c r="M26" s="24" t="n">
        <f aca="false">M24-M25</f>
        <v>13.5</v>
      </c>
      <c r="N26" s="24" t="n">
        <f aca="false">N24-N25</f>
        <v>15.3</v>
      </c>
      <c r="O26" s="24" t="n">
        <f aca="false">O24-O25</f>
        <v>17.1</v>
      </c>
      <c r="P26" s="24" t="n">
        <f aca="false">P24-P25</f>
        <v>18.9</v>
      </c>
      <c r="Q26" s="24" t="n">
        <f aca="false">Q24-Q25</f>
        <v>20.7</v>
      </c>
      <c r="R26" s="24" t="n">
        <f aca="false">R24-R25</f>
        <v>22.5</v>
      </c>
      <c r="S26" s="24" t="n">
        <f aca="false">S24-S25</f>
        <v>24.3</v>
      </c>
      <c r="T26" s="24" t="n">
        <f aca="false">T24-T25</f>
        <v>26.1</v>
      </c>
      <c r="U26" s="24" t="n">
        <f aca="false">U24-U25</f>
        <v>27.9</v>
      </c>
      <c r="V26" s="24" t="n">
        <f aca="false">V24-V25</f>
        <v>29.7</v>
      </c>
      <c r="W26" s="24" t="n">
        <f aca="false">W24-W25</f>
        <v>31.5</v>
      </c>
      <c r="X26" s="24" t="n">
        <f aca="false">X24-X25</f>
        <v>33.3</v>
      </c>
      <c r="Y26" s="24" t="n">
        <f aca="false">Y24-Y25</f>
        <v>35.1</v>
      </c>
      <c r="Z26" s="24" t="n">
        <f aca="false">Z24-Z25</f>
        <v>38.745</v>
      </c>
      <c r="AA26" s="24" t="n">
        <f aca="false">AA24-AA25</f>
        <v>40.635</v>
      </c>
      <c r="AB26" s="24" t="n">
        <f aca="false">AB24-AB25</f>
        <v>42.525</v>
      </c>
      <c r="AC26" s="24" t="n">
        <f aca="false">AC24-AC25</f>
        <v>44.415</v>
      </c>
      <c r="AD26" s="24" t="n">
        <f aca="false">AD24-AD25</f>
        <v>46.305</v>
      </c>
      <c r="AE26" s="24" t="n">
        <f aca="false">AE24-AE25</f>
        <v>48.195</v>
      </c>
      <c r="AF26" s="24" t="n">
        <f aca="false">AF24-AF25</f>
        <v>50.085</v>
      </c>
      <c r="AG26" s="24" t="n">
        <f aca="false">AG24-AG25</f>
        <v>51.975</v>
      </c>
      <c r="AH26" s="24" t="n">
        <f aca="false">AH24-AH25</f>
        <v>53.865</v>
      </c>
      <c r="AI26" s="24" t="n">
        <f aca="false">AI24-AI25</f>
        <v>55.755</v>
      </c>
      <c r="AJ26" s="24" t="n">
        <f aca="false">AJ24-AJ25</f>
        <v>57.645</v>
      </c>
      <c r="AK26" s="24" t="n">
        <f aca="false">AK24-AK25</f>
        <v>59.535</v>
      </c>
    </row>
    <row r="27" customFormat="false" ht="15" hidden="false" customHeight="false" outlineLevel="0" collapsed="false">
      <c r="A27" s="4" t="s">
        <v>169</v>
      </c>
      <c r="B27" s="24" t="n">
        <f aca="false">B25</f>
        <v>0.9</v>
      </c>
      <c r="C27" s="24" t="n">
        <f aca="false">C25</f>
        <v>1.35</v>
      </c>
      <c r="D27" s="24" t="n">
        <f aca="false">D25</f>
        <v>1.98</v>
      </c>
      <c r="E27" s="24" t="n">
        <f aca="false">E25</f>
        <v>2.7</v>
      </c>
      <c r="F27" s="24" t="n">
        <f aca="false">F25</f>
        <v>3.6</v>
      </c>
      <c r="G27" s="24" t="n">
        <f aca="false">G25</f>
        <v>4.5</v>
      </c>
      <c r="H27" s="24" t="n">
        <f aca="false">H25</f>
        <v>5.85</v>
      </c>
      <c r="I27" s="24" t="n">
        <f aca="false">I25</f>
        <v>7.2</v>
      </c>
      <c r="J27" s="24" t="n">
        <f aca="false">J25</f>
        <v>8.55</v>
      </c>
      <c r="K27" s="24" t="n">
        <f aca="false">K25</f>
        <v>9.9</v>
      </c>
      <c r="L27" s="24" t="n">
        <f aca="false">L25</f>
        <v>11.7</v>
      </c>
      <c r="M27" s="24" t="n">
        <f aca="false">M25</f>
        <v>13.5</v>
      </c>
      <c r="N27" s="24" t="n">
        <f aca="false">N25+B27*Assumptions!$B$14</f>
        <v>23.355</v>
      </c>
      <c r="O27" s="24" t="n">
        <f aca="false">O25+C27*Assumptions!$B$14</f>
        <v>26.2575</v>
      </c>
      <c r="P27" s="24" t="n">
        <f aca="false">P25+D27*Assumptions!$B$14</f>
        <v>29.241</v>
      </c>
      <c r="Q27" s="24" t="n">
        <f aca="false">Q25+E27*Assumptions!$B$14</f>
        <v>32.265</v>
      </c>
      <c r="R27" s="24" t="n">
        <f aca="false">R25+F27*Assumptions!$B$14</f>
        <v>35.37</v>
      </c>
      <c r="S27" s="24" t="n">
        <f aca="false">S25+G27*Assumptions!$B$14</f>
        <v>38.475</v>
      </c>
      <c r="T27" s="24" t="n">
        <f aca="false">T25+H27*Assumptions!$B$14</f>
        <v>41.7825</v>
      </c>
      <c r="U27" s="24" t="n">
        <f aca="false">U25+I27*Assumptions!$B$14</f>
        <v>45.09</v>
      </c>
      <c r="V27" s="24" t="n">
        <f aca="false">V25+J27*Assumptions!$B$14</f>
        <v>48.3975</v>
      </c>
      <c r="W27" s="24" t="n">
        <f aca="false">W25+K27*Assumptions!$B$14</f>
        <v>51.705</v>
      </c>
      <c r="X27" s="24" t="n">
        <f aca="false">X25+L27*Assumptions!$B$14</f>
        <v>55.215</v>
      </c>
      <c r="Y27" s="24" t="n">
        <f aca="false">Y25+M27*Assumptions!$B$14</f>
        <v>58.725</v>
      </c>
      <c r="Z27" s="24" t="n">
        <f aca="false">Z25+N27*Assumptions!$B$14</f>
        <v>82.46475</v>
      </c>
      <c r="AA27" s="24" t="n">
        <f aca="false">AA25+O27*Assumptions!$B$14</f>
        <v>87.280875</v>
      </c>
      <c r="AB27" s="24" t="n">
        <f aca="false">AB25+P27*Assumptions!$B$14</f>
        <v>92.13345</v>
      </c>
      <c r="AC27" s="24" t="n">
        <f aca="false">AC25+Q27*Assumptions!$B$14</f>
        <v>97.00425</v>
      </c>
      <c r="AD27" s="24" t="n">
        <f aca="false">AD25+R27*Assumptions!$B$14</f>
        <v>101.9115</v>
      </c>
      <c r="AE27" s="24" t="n">
        <f aca="false">AE25+S27*Assumptions!$B$14</f>
        <v>106.81875</v>
      </c>
      <c r="AF27" s="24" t="n">
        <f aca="false">AF25+T27*Assumptions!$B$14</f>
        <v>111.817125</v>
      </c>
      <c r="AG27" s="24" t="n">
        <f aca="false">AG25+U27*Assumptions!$B$14</f>
        <v>116.8155</v>
      </c>
      <c r="AH27" s="24" t="n">
        <f aca="false">AH25+V27*Assumptions!$B$14</f>
        <v>121.813875</v>
      </c>
      <c r="AI27" s="24" t="n">
        <f aca="false">AI25+W27*Assumptions!$B$14</f>
        <v>126.81225</v>
      </c>
      <c r="AJ27" s="24" t="n">
        <f aca="false">AJ25+X27*Assumptions!$B$14</f>
        <v>131.90175</v>
      </c>
      <c r="AK27" s="24" t="n">
        <f aca="false">AK25+Y27*Assumptions!$B$14</f>
        <v>136.99125</v>
      </c>
    </row>
    <row r="28" customFormat="false" ht="15" hidden="false" customHeight="false" outlineLevel="0" collapsed="false">
      <c r="A28" s="4" t="s">
        <v>170</v>
      </c>
      <c r="B28" s="24" t="n">
        <f aca="false">SUM(B27:B27)</f>
        <v>0.9</v>
      </c>
      <c r="C28" s="24" t="n">
        <f aca="false">SUM(B27:C27)</f>
        <v>2.25</v>
      </c>
      <c r="D28" s="24" t="n">
        <f aca="false">SUM(B27:D27)</f>
        <v>4.23</v>
      </c>
      <c r="E28" s="24" t="n">
        <f aca="false">SUM(B27:E27)</f>
        <v>6.93</v>
      </c>
      <c r="F28" s="24" t="n">
        <f aca="false">SUM(B27:F27)</f>
        <v>10.53</v>
      </c>
      <c r="G28" s="24" t="n">
        <f aca="false">SUM(B27:G27)</f>
        <v>15.03</v>
      </c>
      <c r="H28" s="24" t="n">
        <f aca="false">SUM(B27:H27)</f>
        <v>20.88</v>
      </c>
      <c r="I28" s="24" t="n">
        <f aca="false">SUM(B27:I27)</f>
        <v>28.08</v>
      </c>
      <c r="J28" s="24" t="n">
        <f aca="false">SUM(B27:J27)</f>
        <v>36.63</v>
      </c>
      <c r="K28" s="24" t="n">
        <f aca="false">SUM(B27:K27)</f>
        <v>46.53</v>
      </c>
      <c r="L28" s="24" t="n">
        <f aca="false">SUM(B27:L27)</f>
        <v>58.23</v>
      </c>
      <c r="M28" s="24" t="n">
        <f aca="false">SUM(B27:M27)</f>
        <v>71.73</v>
      </c>
      <c r="N28" s="24" t="n">
        <f aca="false">SUM(C27:N27)</f>
        <v>94.185</v>
      </c>
      <c r="O28" s="24" t="n">
        <f aca="false">SUM(D27:O27)</f>
        <v>119.0925</v>
      </c>
      <c r="P28" s="24" t="n">
        <f aca="false">SUM(E27:P27)</f>
        <v>146.3535</v>
      </c>
      <c r="Q28" s="24" t="n">
        <f aca="false">SUM(F27:Q27)</f>
        <v>175.9185</v>
      </c>
      <c r="R28" s="24" t="n">
        <f aca="false">SUM(G27:R27)</f>
        <v>207.6885</v>
      </c>
      <c r="S28" s="24" t="n">
        <f aca="false">SUM(H27:S27)</f>
        <v>241.6635</v>
      </c>
      <c r="T28" s="24" t="n">
        <f aca="false">SUM(I27:T27)</f>
        <v>277.596</v>
      </c>
      <c r="U28" s="24" t="n">
        <f aca="false">SUM(J27:U27)</f>
        <v>315.486</v>
      </c>
      <c r="V28" s="24" t="n">
        <f aca="false">SUM(K27:V27)</f>
        <v>355.3335</v>
      </c>
      <c r="W28" s="24" t="n">
        <f aca="false">SUM(L27:W27)</f>
        <v>397.1385</v>
      </c>
      <c r="X28" s="24" t="n">
        <f aca="false">SUM(M27:X27)</f>
        <v>440.6535</v>
      </c>
      <c r="Y28" s="24" t="n">
        <f aca="false">SUM(N27:Y27)</f>
        <v>485.8785</v>
      </c>
      <c r="Z28" s="24" t="n">
        <f aca="false">SUM(O27:Z27)</f>
        <v>544.98825</v>
      </c>
      <c r="AA28" s="24" t="n">
        <f aca="false">SUM(P27:AA27)</f>
        <v>606.011625</v>
      </c>
      <c r="AB28" s="24" t="n">
        <f aca="false">SUM(Q27:AB27)</f>
        <v>668.904075</v>
      </c>
      <c r="AC28" s="24" t="n">
        <f aca="false">SUM(R27:AC27)</f>
        <v>733.643325</v>
      </c>
      <c r="AD28" s="24" t="n">
        <f aca="false">SUM(S27:AD27)</f>
        <v>800.184825</v>
      </c>
      <c r="AE28" s="24" t="n">
        <f aca="false">SUM(T27:AE27)</f>
        <v>868.528575</v>
      </c>
      <c r="AF28" s="24" t="n">
        <f aca="false">SUM(U27:AF27)</f>
        <v>938.5632</v>
      </c>
      <c r="AG28" s="24" t="n">
        <f aca="false">SUM(V27:AG27)</f>
        <v>1010.2887</v>
      </c>
      <c r="AH28" s="24" t="n">
        <f aca="false">SUM(W27:AH27)</f>
        <v>1083.705075</v>
      </c>
      <c r="AI28" s="24" t="n">
        <f aca="false">SUM(X27:AI27)</f>
        <v>1158.812325</v>
      </c>
      <c r="AJ28" s="24" t="n">
        <f aca="false">SUM(Y27:AJ27)</f>
        <v>1235.499075</v>
      </c>
      <c r="AK28" s="24" t="n">
        <f aca="false">SUM(Z27:AK27)</f>
        <v>1313.765325</v>
      </c>
    </row>
    <row r="29" customFormat="false" ht="15" hidden="false" customHeight="false" outlineLevel="0" collapsed="false">
      <c r="A29" s="4" t="s">
        <v>171</v>
      </c>
      <c r="B29" s="24" t="n">
        <f aca="false">B26</f>
        <v>0.9</v>
      </c>
      <c r="C29" s="24" t="n">
        <f aca="false">B29*(1-Assumptions!$B$13)+C26</f>
        <v>2.142</v>
      </c>
      <c r="D29" s="24" t="n">
        <f aca="false">C29*(1-Assumptions!$B$13)+D26</f>
        <v>3.86496</v>
      </c>
      <c r="E29" s="24" t="n">
        <f aca="false">D29*(1-Assumptions!$B$13)+E26</f>
        <v>6.1011648</v>
      </c>
      <c r="F29" s="24" t="n">
        <f aca="false">E29*(1-Assumptions!$B$13)+F26</f>
        <v>8.969025024</v>
      </c>
      <c r="G29" s="24" t="n">
        <f aca="false">F29*(1-Assumptions!$B$13)+G26</f>
        <v>12.39274202112</v>
      </c>
      <c r="H29" s="24" t="n">
        <f aca="false">G29*(1-Assumptions!$B$13)+H26</f>
        <v>16.7556129785856</v>
      </c>
      <c r="I29" s="24" t="n">
        <f aca="false">H29*(1-Assumptions!$B$13)+I26</f>
        <v>21.9449394211553</v>
      </c>
      <c r="J29" s="24" t="n">
        <f aca="false">I29*(1-Assumptions!$B$13)+J26</f>
        <v>27.8615466906167</v>
      </c>
      <c r="K29" s="24" t="n">
        <f aca="false">J29*(1-Assumptions!$B$13)+K26</f>
        <v>34.4181610877427</v>
      </c>
      <c r="L29" s="24" t="n">
        <f aca="false">K29*(1-Assumptions!$B$13)+L26</f>
        <v>41.9879817572136</v>
      </c>
      <c r="M29" s="24" t="n">
        <f aca="false">L29*(1-Assumptions!$B$13)+M26</f>
        <v>50.4494239463479</v>
      </c>
      <c r="N29" s="24" t="n">
        <f aca="false">M29*(1-Assumptions!$B$13)+N26</f>
        <v>59.6954930727862</v>
      </c>
      <c r="O29" s="24" t="n">
        <f aca="false">N29*(1-Assumptions!$B$13)+O26</f>
        <v>69.6320339040518</v>
      </c>
      <c r="P29" s="24" t="n">
        <f aca="false">O29*(1-Assumptions!$B$13)+P26</f>
        <v>80.1761898355656</v>
      </c>
      <c r="Q29" s="24" t="n">
        <f aca="false">P29*(1-Assumptions!$B$13)+Q26</f>
        <v>91.2550470552978</v>
      </c>
      <c r="R29" s="24" t="n">
        <f aca="false">Q29*(1-Assumptions!$B$13)+R26</f>
        <v>102.804441408662</v>
      </c>
      <c r="S29" s="24" t="n">
        <f aca="false">R29*(1-Assumptions!$B$13)+S26</f>
        <v>114.767908439623</v>
      </c>
      <c r="T29" s="24" t="n">
        <f aca="false">S29*(1-Assumptions!$B$13)+T26</f>
        <v>127.095759426868</v>
      </c>
      <c r="U29" s="24" t="n">
        <f aca="false">T29*(1-Assumptions!$B$13)+U26</f>
        <v>139.744268295644</v>
      </c>
      <c r="V29" s="24" t="n">
        <f aca="false">U29*(1-Assumptions!$B$13)+V26</f>
        <v>152.674956100166</v>
      </c>
      <c r="W29" s="24" t="n">
        <f aca="false">V29*(1-Assumptions!$B$13)+W26</f>
        <v>165.853961368146</v>
      </c>
      <c r="X29" s="24" t="n">
        <f aca="false">W29*(1-Assumptions!$B$13)+X26</f>
        <v>179.251486003969</v>
      </c>
      <c r="Y29" s="24" t="n">
        <f aca="false">X29*(1-Assumptions!$B$13)+Y26</f>
        <v>192.841307683493</v>
      </c>
      <c r="Z29" s="24" t="n">
        <f aca="false">Y29*(1-Assumptions!$B$13)+Z26</f>
        <v>208.445350761474</v>
      </c>
      <c r="AA29" s="24" t="n">
        <f aca="false">Z29*(1-Assumptions!$B$13)+AA26</f>
        <v>224.066908670097</v>
      </c>
      <c r="AB29" s="24" t="n">
        <f aca="false">AA29*(1-Assumptions!$B$13)+AB26</f>
        <v>239.703879629685</v>
      </c>
      <c r="AC29" s="24" t="n">
        <f aca="false">AB29*(1-Assumptions!$B$13)+AC26</f>
        <v>255.354414074123</v>
      </c>
      <c r="AD29" s="24" t="n">
        <f aca="false">AC29*(1-Assumptions!$B$13)+AD26</f>
        <v>271.016884385228</v>
      </c>
      <c r="AE29" s="24" t="n">
        <f aca="false">AD29*(1-Assumptions!$B$13)+AE26</f>
        <v>286.689858259001</v>
      </c>
      <c r="AF29" s="24" t="n">
        <f aca="false">AE29*(1-Assumptions!$B$13)+AF26</f>
        <v>302.372075267921</v>
      </c>
      <c r="AG29" s="24" t="n">
        <f aca="false">AF29*(1-Assumptions!$B$13)+AG26</f>
        <v>318.06242623577</v>
      </c>
      <c r="AH29" s="24" t="n">
        <f aca="false">AG29*(1-Assumptions!$B$13)+AH26</f>
        <v>333.759935087478</v>
      </c>
      <c r="AI29" s="24" t="n">
        <f aca="false">AH29*(1-Assumptions!$B$13)+AI26</f>
        <v>349.46374287698</v>
      </c>
      <c r="AJ29" s="24" t="n">
        <f aca="false">AI29*(1-Assumptions!$B$13)+AJ26</f>
        <v>365.173093731743</v>
      </c>
      <c r="AK29" s="24" t="n">
        <f aca="false">AJ29*(1-Assumptions!$B$13)+AK26</f>
        <v>380.887322483934</v>
      </c>
    </row>
    <row r="30" customFormat="false" ht="15" hidden="false" customHeight="false" outlineLevel="0" collapsed="false">
      <c r="A30" s="4" t="s">
        <v>172</v>
      </c>
      <c r="B30" s="24" t="n">
        <f aca="false">B14</f>
        <v>0</v>
      </c>
      <c r="C30" s="24" t="n">
        <f aca="false">B30*(1-C19)+C14</f>
        <v>0</v>
      </c>
      <c r="D30" s="24" t="n">
        <f aca="false">C30*(1-D19)+D14</f>
        <v>2</v>
      </c>
      <c r="E30" s="24" t="n">
        <f aca="false">D30*(1-E19)+E14</f>
        <v>4.9</v>
      </c>
      <c r="F30" s="24" t="n">
        <f aca="false">E30*(1-F19)+F14</f>
        <v>8.655</v>
      </c>
      <c r="G30" s="24" t="n">
        <f aca="false">F30*(1-G19)+G14</f>
        <v>13.22225</v>
      </c>
      <c r="H30" s="24" t="n">
        <f aca="false">G30*(1-H19)+H14</f>
        <v>18.5611375</v>
      </c>
      <c r="I30" s="24" t="n">
        <f aca="false">H30*(1-I19)+I14</f>
        <v>23.633080625</v>
      </c>
      <c r="J30" s="24" t="n">
        <f aca="false">I30*(1-J19)+J14</f>
        <v>29.45142659375</v>
      </c>
      <c r="K30" s="24" t="n">
        <f aca="false">J30*(1-K19)+K14</f>
        <v>35.9788552640625</v>
      </c>
      <c r="L30" s="24" t="n">
        <f aca="false">K30*(1-L19)+L14</f>
        <v>42.1799125008594</v>
      </c>
      <c r="M30" s="24" t="n">
        <f aca="false">L30*(1-M19)+M14</f>
        <v>49.0709168758164</v>
      </c>
      <c r="N30" s="24" t="n">
        <f aca="false">M30*(1-N19)+N14</f>
        <v>56.6173710320256</v>
      </c>
      <c r="O30" s="24" t="n">
        <f aca="false">N30*(1-O19)+O14</f>
        <v>64.7865024804243</v>
      </c>
      <c r="P30" s="24" t="n">
        <f aca="false">O30*(1-P19)+P14</f>
        <v>73.5471773564031</v>
      </c>
      <c r="Q30" s="24" t="n">
        <f aca="false">P30*(1-Q19)+Q14</f>
        <v>82.8698184885829</v>
      </c>
      <c r="R30" s="24" t="n">
        <f aca="false">Q30*(1-R19)+R14</f>
        <v>92.7263275641538</v>
      </c>
      <c r="S30" s="24" t="n">
        <f aca="false">R30*(1-S19)+S14</f>
        <v>103.090011185946</v>
      </c>
      <c r="T30" s="24" t="n">
        <f aca="false">S30*(1-T19)+T14</f>
        <v>113.935510626649</v>
      </c>
      <c r="U30" s="24" t="n">
        <f aca="false">T30*(1-U19)+U14</f>
        <v>125.238735095316</v>
      </c>
      <c r="V30" s="24" t="n">
        <f aca="false">U30*(1-V19)+V14</f>
        <v>136.976798340551</v>
      </c>
      <c r="W30" s="24" t="n">
        <f aca="false">V30*(1-W19)+W14</f>
        <v>149.127958423523</v>
      </c>
      <c r="X30" s="24" t="n">
        <f aca="false">W30*(1-X19)+X14</f>
        <v>161.671560502347</v>
      </c>
      <c r="Y30" s="24" t="n">
        <f aca="false">X30*(1-Y19)+Y14</f>
        <v>174.587982477229</v>
      </c>
      <c r="Z30" s="24" t="n">
        <f aca="false">Y30*(1-Z19)+Z14</f>
        <v>191.350343002913</v>
      </c>
      <c r="AA30" s="24" t="n">
        <f aca="false">Z30*(1-AA19)+AA14</f>
        <v>208.609832712825</v>
      </c>
      <c r="AB30" s="24" t="n">
        <f aca="false">AA30*(1-AB19)+AB14</f>
        <v>226.35153773144</v>
      </c>
      <c r="AC30" s="24" t="n">
        <f aca="false">AB30*(1-AC19)+AC14</f>
        <v>244.560991599497</v>
      </c>
      <c r="AD30" s="24" t="n">
        <f aca="false">AC30*(1-AD19)+AD14</f>
        <v>263.224161851512</v>
      </c>
      <c r="AE30" s="24" t="n">
        <f aca="false">AD30*(1-AE19)+AE14</f>
        <v>282.327436995967</v>
      </c>
      <c r="AF30" s="24" t="n">
        <f aca="false">AE30*(1-AF19)+AF14</f>
        <v>301.857613886088</v>
      </c>
      <c r="AG30" s="24" t="n">
        <f aca="false">AF30*(1-AG19)+AG14</f>
        <v>321.801885469505</v>
      </c>
      <c r="AH30" s="24" t="n">
        <f aca="false">AG30*(1-AH19)+AH14</f>
        <v>342.14782890542</v>
      </c>
      <c r="AI30" s="24" t="n">
        <f aca="false">AH30*(1-AI19)+AI14</f>
        <v>362.883394038257</v>
      </c>
      <c r="AJ30" s="24" t="n">
        <f aca="false">AI30*(1-AJ19)+AJ14</f>
        <v>383.99689221711</v>
      </c>
      <c r="AK30" s="24" t="n">
        <f aca="false">AJ30*(1-AK19)+AK14</f>
        <v>405.476985450596</v>
      </c>
    </row>
    <row r="31" customFormat="false" ht="15" hidden="false" customHeight="false" outlineLevel="0" collapsed="false">
      <c r="A31" s="4" t="s">
        <v>173</v>
      </c>
      <c r="B31" s="15" t="n">
        <f aca="false">B13</f>
        <v>100</v>
      </c>
      <c r="C31" s="15" t="n">
        <f aca="false">B31*(1-Assumptions!$B$15)+C13</f>
        <v>230</v>
      </c>
      <c r="D31" s="15" t="n">
        <f aca="false">C31*(1-Assumptions!$B$15)+D13</f>
        <v>404</v>
      </c>
      <c r="E31" s="15" t="n">
        <f aca="false">D31*(1-Assumptions!$B$15)+E13</f>
        <v>623.2</v>
      </c>
      <c r="F31" s="15" t="n">
        <f aca="false">E31*(1-Assumptions!$B$15)+F13</f>
        <v>898.56</v>
      </c>
      <c r="G31" s="15" t="n">
        <f aca="false">F31*(1-Assumptions!$B$15)+G13</f>
        <v>1218.848</v>
      </c>
      <c r="H31" s="15" t="n">
        <f aca="false">G31*(1-Assumptions!$B$15)+H13</f>
        <v>1625.0784</v>
      </c>
      <c r="I31" s="15" t="n">
        <f aca="false">H31*(1-Assumptions!$B$15)+I13</f>
        <v>2100.06272</v>
      </c>
      <c r="J31" s="15" t="n">
        <f aca="false">I31*(1-Assumptions!$B$15)+J13</f>
        <v>2630.050176</v>
      </c>
      <c r="K31" s="15" t="n">
        <f aca="false">J31*(1-Assumptions!$B$15)+K13</f>
        <v>3204.0401408</v>
      </c>
      <c r="L31" s="15" t="n">
        <f aca="false">K31*(1-Assumptions!$B$15)+L13</f>
        <v>3863.23211264</v>
      </c>
      <c r="M31" s="15" t="n">
        <f aca="false">L31*(1-Assumptions!$B$15)+M13</f>
        <v>4590.585690112</v>
      </c>
      <c r="N31" s="15" t="n">
        <f aca="false">M31*(1-Assumptions!$B$15)+N13</f>
        <v>5372.4685520896</v>
      </c>
      <c r="O31" s="15" t="n">
        <f aca="false">N31*(1-Assumptions!$B$15)+O13</f>
        <v>6197.97484167168</v>
      </c>
      <c r="P31" s="15" t="n">
        <f aca="false">O31*(1-Assumptions!$B$15)+P13</f>
        <v>7058.37987333734</v>
      </c>
      <c r="Q31" s="15" t="n">
        <f aca="false">P31*(1-Assumptions!$B$15)+Q13</f>
        <v>7946.70389866988</v>
      </c>
      <c r="R31" s="15" t="n">
        <f aca="false">Q31*(1-Assumptions!$B$15)+R13</f>
        <v>8857.3631189359</v>
      </c>
      <c r="S31" s="15" t="n">
        <f aca="false">R31*(1-Assumptions!$B$15)+S13</f>
        <v>9785.89049514872</v>
      </c>
      <c r="T31" s="15" t="n">
        <f aca="false">S31*(1-Assumptions!$B$15)+T13</f>
        <v>10728.712396119</v>
      </c>
      <c r="U31" s="15" t="n">
        <f aca="false">T31*(1-Assumptions!$B$15)+U13</f>
        <v>11682.9699168952</v>
      </c>
      <c r="V31" s="15" t="n">
        <f aca="false">U31*(1-Assumptions!$B$15)+V13</f>
        <v>12646.3759335161</v>
      </c>
      <c r="W31" s="15" t="n">
        <f aca="false">V31*(1-Assumptions!$B$15)+W13</f>
        <v>13617.1007468129</v>
      </c>
      <c r="X31" s="15" t="n">
        <f aca="false">W31*(1-Assumptions!$B$15)+X13</f>
        <v>14593.6805974503</v>
      </c>
      <c r="Y31" s="15" t="n">
        <f aca="false">X31*(1-Assumptions!$B$15)+Y13</f>
        <v>15574.9444779603</v>
      </c>
      <c r="Z31" s="15" t="n">
        <f aca="false">Y31*(1-Assumptions!$B$15)+Z13</f>
        <v>16559.9555823682</v>
      </c>
      <c r="AA31" s="15" t="n">
        <f aca="false">Z31*(1-Assumptions!$B$15)+AA13</f>
        <v>17547.9644658946</v>
      </c>
      <c r="AB31" s="15" t="n">
        <f aca="false">AA31*(1-Assumptions!$B$15)+AB13</f>
        <v>18538.3715727157</v>
      </c>
      <c r="AC31" s="15" t="n">
        <f aca="false">AB31*(1-Assumptions!$B$15)+AC13</f>
        <v>19530.6972581725</v>
      </c>
      <c r="AD31" s="15" t="n">
        <f aca="false">AC31*(1-Assumptions!$B$15)+AD13</f>
        <v>20524.557806538</v>
      </c>
      <c r="AE31" s="15" t="n">
        <f aca="false">AD31*(1-Assumptions!$B$15)+AE13</f>
        <v>21519.6462452304</v>
      </c>
      <c r="AF31" s="15" t="n">
        <f aca="false">AE31*(1-Assumptions!$B$15)+AF13</f>
        <v>22515.7169961843</v>
      </c>
      <c r="AG31" s="15" t="n">
        <f aca="false">AF31*(1-Assumptions!$B$15)+AG13</f>
        <v>23512.5735969475</v>
      </c>
      <c r="AH31" s="15" t="n">
        <f aca="false">AG31*(1-Assumptions!$B$15)+AH13</f>
        <v>24510.058877558</v>
      </c>
      <c r="AI31" s="15" t="n">
        <f aca="false">AH31*(1-Assumptions!$B$15)+AI13</f>
        <v>25508.0471020464</v>
      </c>
      <c r="AJ31" s="15" t="n">
        <f aca="false">AI31*(1-Assumptions!$B$15)+AJ13</f>
        <v>26506.4376816371</v>
      </c>
      <c r="AK31" s="15" t="n">
        <f aca="false">AJ31*(1-Assumptions!$B$15)+AK13</f>
        <v>27505.1501453097</v>
      </c>
    </row>
    <row r="32" customFormat="false" ht="15" hidden="false" customHeight="false" outlineLevel="0" collapsed="false">
      <c r="A32" s="9" t="s">
        <v>174</v>
      </c>
      <c r="B32" s="37" t="n">
        <f aca="false">B28+B29+B30</f>
        <v>1.8</v>
      </c>
      <c r="C32" s="37" t="n">
        <f aca="false">C28+C29+C30</f>
        <v>4.392</v>
      </c>
      <c r="D32" s="37" t="n">
        <f aca="false">D28+D29+D30</f>
        <v>10.09496</v>
      </c>
      <c r="E32" s="37" t="n">
        <f aca="false">E28+E29+E30</f>
        <v>17.9311648</v>
      </c>
      <c r="F32" s="37" t="n">
        <f aca="false">F28+F29+F30</f>
        <v>28.154025024</v>
      </c>
      <c r="G32" s="37" t="n">
        <f aca="false">G28+G29+G30</f>
        <v>40.64499202112</v>
      </c>
      <c r="H32" s="37" t="n">
        <f aca="false">H28+H29+H30</f>
        <v>56.1967504785856</v>
      </c>
      <c r="I32" s="37" t="n">
        <f aca="false">I28+I29+I30</f>
        <v>73.6580200461553</v>
      </c>
      <c r="J32" s="37" t="n">
        <f aca="false">J28+J29+J30</f>
        <v>93.9429732843667</v>
      </c>
      <c r="K32" s="37" t="n">
        <f aca="false">K28+K29+K30</f>
        <v>116.927016351805</v>
      </c>
      <c r="L32" s="37" t="n">
        <f aca="false">L28+L29+L30</f>
        <v>142.397894258073</v>
      </c>
      <c r="M32" s="37" t="n">
        <f aca="false">M28+M29+M30</f>
        <v>171.250340822164</v>
      </c>
      <c r="N32" s="37" t="n">
        <f aca="false">N28+N29+N30</f>
        <v>210.497864104812</v>
      </c>
      <c r="O32" s="37" t="n">
        <f aca="false">O28+O29+O30</f>
        <v>253.511036384476</v>
      </c>
      <c r="P32" s="37" t="n">
        <f aca="false">P28+P29+P30</f>
        <v>300.076867191969</v>
      </c>
      <c r="Q32" s="37" t="n">
        <f aca="false">Q28+Q29+Q30</f>
        <v>350.043365543881</v>
      </c>
      <c r="R32" s="37" t="n">
        <f aca="false">R28+R29+R30</f>
        <v>403.219268972816</v>
      </c>
      <c r="S32" s="37" t="n">
        <f aca="false">S28+S29+S30</f>
        <v>459.521419625569</v>
      </c>
      <c r="T32" s="37" t="n">
        <f aca="false">T28+T29+T30</f>
        <v>518.627270053517</v>
      </c>
      <c r="U32" s="37" t="n">
        <f aca="false">U28+U29+U30</f>
        <v>580.46900339096</v>
      </c>
      <c r="V32" s="37" t="n">
        <f aca="false">V28+V29+V30</f>
        <v>644.985254440717</v>
      </c>
      <c r="W32" s="37" t="n">
        <f aca="false">W28+W29+W30</f>
        <v>712.120419791669</v>
      </c>
      <c r="X32" s="37" t="n">
        <f aca="false">X28+X29+X30</f>
        <v>781.576546506316</v>
      </c>
      <c r="Y32" s="37" t="n">
        <f aca="false">Y28+Y29+Y30</f>
        <v>853.307790160722</v>
      </c>
      <c r="Z32" s="37" t="n">
        <f aca="false">Z28+Z29+Z30</f>
        <v>944.783943764386</v>
      </c>
      <c r="AA32" s="37" t="n">
        <f aca="false">AA28+AA29+AA30</f>
        <v>1038.68836638292</v>
      </c>
      <c r="AB32" s="37" t="n">
        <f aca="false">AB28+AB29+AB30</f>
        <v>1134.95949236113</v>
      </c>
      <c r="AC32" s="37" t="n">
        <f aca="false">AC28+AC29+AC30</f>
        <v>1233.55873067362</v>
      </c>
      <c r="AD32" s="37" t="n">
        <f aca="false">AD28+AD29+AD30</f>
        <v>1334.42587123674</v>
      </c>
      <c r="AE32" s="37" t="n">
        <f aca="false">AE28+AE29+AE30</f>
        <v>1437.54587025497</v>
      </c>
      <c r="AF32" s="37" t="n">
        <f aca="false">AF28+AF29+AF30</f>
        <v>1542.79288915401</v>
      </c>
      <c r="AG32" s="37" t="n">
        <f aca="false">AG28+AG29+AG30</f>
        <v>1650.15301170528</v>
      </c>
      <c r="AH32" s="37" t="n">
        <f aca="false">AH28+AH29+AH30</f>
        <v>1759.6128389929</v>
      </c>
      <c r="AI32" s="37" t="n">
        <f aca="false">AI28+AI29+AI30</f>
        <v>1871.15946191524</v>
      </c>
      <c r="AJ32" s="37" t="n">
        <f aca="false">AJ28+AJ29+AJ30</f>
        <v>1984.66906094885</v>
      </c>
      <c r="AK32" s="37" t="n">
        <f aca="false">AK28+AK29+AK30</f>
        <v>2100.12963293453</v>
      </c>
    </row>
    <row r="33" customFormat="false" ht="15" hidden="false" customHeight="false" outlineLevel="0" collapsed="false">
      <c r="A33" s="4" t="s">
        <v>175</v>
      </c>
      <c r="B33" s="15" t="n">
        <f aca="false">B13*Assumptions!$B$51+B32*Assumptions!$B$52</f>
        <v>20.216</v>
      </c>
      <c r="C33" s="15" t="n">
        <f aca="false">C13*Assumptions!$B$51+C32*Assumptions!$B$52</f>
        <v>30.52704</v>
      </c>
      <c r="D33" s="15" t="n">
        <f aca="false">D13*Assumptions!$B$51+D32*Assumptions!$B$52</f>
        <v>45.2113952</v>
      </c>
      <c r="E33" s="15" t="n">
        <f aca="false">E13*Assumptions!$B$51+E32*Assumptions!$B$52</f>
        <v>62.151739776</v>
      </c>
      <c r="F33" s="15" t="n">
        <f aca="false">F13*Assumptions!$B$51+F32*Assumptions!$B$52</f>
        <v>83.37848300288</v>
      </c>
      <c r="G33" s="15" t="n">
        <f aca="false">G13*Assumptions!$B$51+G32*Assumptions!$B$52</f>
        <v>104.877399042534</v>
      </c>
      <c r="H33" s="15" t="n">
        <f aca="false">H13*Assumptions!$B$51+H32*Assumptions!$B$52</f>
        <v>136.74361005743</v>
      </c>
      <c r="I33" s="15" t="n">
        <f aca="false">I13*Assumptions!$B$51+I32*Assumptions!$B$52</f>
        <v>168.838962405539</v>
      </c>
      <c r="J33" s="15" t="n">
        <f aca="false">J13*Assumptions!$B$51+J32*Assumptions!$B$52</f>
        <v>201.273156794124</v>
      </c>
      <c r="K33" s="15" t="n">
        <f aca="false">K13*Assumptions!$B$51+K32*Assumptions!$B$52</f>
        <v>234.031241962217</v>
      </c>
      <c r="L33" s="15" t="n">
        <f aca="false">L13*Assumptions!$B$51+L32*Assumptions!$B$52</f>
        <v>277.087747310969</v>
      </c>
      <c r="M33" s="15" t="n">
        <f aca="false">M13*Assumptions!$B$51+M32*Assumptions!$B$52</f>
        <v>320.55004089866</v>
      </c>
      <c r="N33" s="15" t="n">
        <f aca="false">N13*Assumptions!$B$51+N32*Assumptions!$B$52</f>
        <v>365.259743692577</v>
      </c>
      <c r="O33" s="15" t="n">
        <f aca="false">O13*Assumptions!$B$51+O32*Assumptions!$B$52</f>
        <v>410.421324366137</v>
      </c>
      <c r="P33" s="15" t="n">
        <f aca="false">P13*Assumptions!$B$51+P32*Assumptions!$B$52</f>
        <v>456.009224063036</v>
      </c>
      <c r="Q33" s="15" t="n">
        <f aca="false">Q13*Assumptions!$B$51+Q32*Assumptions!$B$52</f>
        <v>502.005203865266</v>
      </c>
      <c r="R33" s="15" t="n">
        <f aca="false">R13*Assumptions!$B$51+R32*Assumptions!$B$52</f>
        <v>548.386312276738</v>
      </c>
      <c r="S33" s="15" t="n">
        <f aca="false">S13*Assumptions!$B$51+S32*Assumptions!$B$52</f>
        <v>595.142570355068</v>
      </c>
      <c r="T33" s="15" t="n">
        <f aca="false">T13*Assumptions!$B$51+T32*Assumptions!$B$52</f>
        <v>642.235272406422</v>
      </c>
      <c r="U33" s="15" t="n">
        <f aca="false">U13*Assumptions!$B$51+U32*Assumptions!$B$52</f>
        <v>689.656280406915</v>
      </c>
      <c r="V33" s="15" t="n">
        <f aca="false">V13*Assumptions!$B$51+V32*Assumptions!$B$52</f>
        <v>737.398230532886</v>
      </c>
      <c r="W33" s="15" t="n">
        <f aca="false">W13*Assumptions!$B$51+W32*Assumptions!$B$52</f>
        <v>785.454450375</v>
      </c>
      <c r="X33" s="15" t="n">
        <f aca="false">X13*Assumptions!$B$51+X32*Assumptions!$B$52</f>
        <v>833.789185580758</v>
      </c>
      <c r="Y33" s="15" t="n">
        <f aca="false">Y13*Assumptions!$B$51+Y32*Assumptions!$B$52</f>
        <v>882.396934819287</v>
      </c>
      <c r="Z33" s="15" t="n">
        <f aca="false">Z13*Assumptions!$B$51+Z32*Assumptions!$B$52</f>
        <v>933.374073251726</v>
      </c>
      <c r="AA33" s="15" t="n">
        <f aca="false">AA13*Assumptions!$B$51+AA32*Assumptions!$B$52</f>
        <v>984.642603965951</v>
      </c>
      <c r="AB33" s="15" t="n">
        <f aca="false">AB13*Assumptions!$B$51+AB32*Assumptions!$B$52</f>
        <v>1036.19513908334</v>
      </c>
      <c r="AC33" s="15" t="n">
        <f aca="false">AC13*Assumptions!$B$51+AC32*Assumptions!$B$52</f>
        <v>1088.02704768083</v>
      </c>
      <c r="AD33" s="15" t="n">
        <f aca="false">AD13*Assumptions!$B$51+AD32*Assumptions!$B$52</f>
        <v>1140.13110454841</v>
      </c>
      <c r="AE33" s="15" t="n">
        <f aca="false">AE13*Assumptions!$B$51+AE32*Assumptions!$B$52</f>
        <v>1192.5055044306</v>
      </c>
      <c r="AF33" s="15" t="n">
        <f aca="false">AF13*Assumptions!$B$51+AF32*Assumptions!$B$52</f>
        <v>1245.13514669848</v>
      </c>
      <c r="AG33" s="15" t="n">
        <f aca="false">AG13*Assumptions!$B$51+AG32*Assumptions!$B$52</f>
        <v>1298.01836140463</v>
      </c>
      <c r="AH33" s="15" t="n">
        <f aca="false">AH13*Assumptions!$B$51+AH32*Assumptions!$B$52</f>
        <v>1351.15354067915</v>
      </c>
      <c r="AI33" s="15" t="n">
        <f aca="false">AI13*Assumptions!$B$51+AI32*Assumptions!$B$52</f>
        <v>1404.53913542983</v>
      </c>
      <c r="AJ33" s="15" t="n">
        <f aca="false">AJ13*Assumptions!$B$51+AJ32*Assumptions!$B$52</f>
        <v>1458.16028731386</v>
      </c>
      <c r="AK33" s="15" t="n">
        <f aca="false">AK13*Assumptions!$B$51+AK32*Assumptions!$B$52</f>
        <v>1512.01555595214</v>
      </c>
    </row>
    <row r="35" customFormat="false" ht="15" hidden="false" customHeight="false" outlineLevel="0" collapsed="false">
      <c r="A35" s="34" t="s">
        <v>176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</row>
    <row r="36" customFormat="false" ht="15" hidden="false" customHeight="false" outlineLevel="0" collapsed="false">
      <c r="A36" s="4" t="s">
        <v>102</v>
      </c>
      <c r="B36" s="11" t="n">
        <f aca="false">B28*Assumptions!$B$6/12</f>
        <v>3.675</v>
      </c>
      <c r="C36" s="11" t="n">
        <f aca="false">C28*Assumptions!$B$6/12</f>
        <v>9.1875</v>
      </c>
      <c r="D36" s="11" t="n">
        <f aca="false">D28*Assumptions!$B$6/12</f>
        <v>17.2725</v>
      </c>
      <c r="E36" s="11" t="n">
        <f aca="false">E28*Assumptions!$B$6/12</f>
        <v>28.2975</v>
      </c>
      <c r="F36" s="11" t="n">
        <f aca="false">F28*Assumptions!$B$6/12</f>
        <v>42.9975</v>
      </c>
      <c r="G36" s="11" t="n">
        <f aca="false">G28*Assumptions!$B$6/12</f>
        <v>61.3725</v>
      </c>
      <c r="H36" s="11" t="n">
        <f aca="false">H28*Assumptions!$B$6/12</f>
        <v>85.26</v>
      </c>
      <c r="I36" s="11" t="n">
        <f aca="false">I28*Assumptions!$B$6/12</f>
        <v>114.66</v>
      </c>
      <c r="J36" s="11" t="n">
        <f aca="false">J28*Assumptions!$B$6/12</f>
        <v>149.5725</v>
      </c>
      <c r="K36" s="11" t="n">
        <f aca="false">K28*Assumptions!$B$6/12</f>
        <v>189.9975</v>
      </c>
      <c r="L36" s="11" t="n">
        <f aca="false">L28*Assumptions!$B$6/12</f>
        <v>237.7725</v>
      </c>
      <c r="M36" s="11" t="n">
        <f aca="false">M28*Assumptions!$B$6/12</f>
        <v>292.8975</v>
      </c>
      <c r="N36" s="11" t="n">
        <f aca="false">N28*Assumptions!$B$6/12</f>
        <v>384.58875</v>
      </c>
      <c r="O36" s="11" t="n">
        <f aca="false">O28*Assumptions!$B$6/12</f>
        <v>486.294375</v>
      </c>
      <c r="P36" s="11" t="n">
        <f aca="false">P28*Assumptions!$B$6/12</f>
        <v>597.610125</v>
      </c>
      <c r="Q36" s="11" t="n">
        <f aca="false">Q28*Assumptions!$B$6/12</f>
        <v>718.333875</v>
      </c>
      <c r="R36" s="11" t="n">
        <f aca="false">R28*Assumptions!$B$6/12</f>
        <v>848.061375</v>
      </c>
      <c r="S36" s="11" t="n">
        <f aca="false">S28*Assumptions!$B$6/12</f>
        <v>986.792625</v>
      </c>
      <c r="T36" s="11" t="n">
        <f aca="false">T28*Assumptions!$B$6/12</f>
        <v>1133.517</v>
      </c>
      <c r="U36" s="11" t="n">
        <f aca="false">U28*Assumptions!$B$6/12</f>
        <v>1288.2345</v>
      </c>
      <c r="V36" s="11" t="n">
        <f aca="false">V28*Assumptions!$B$6/12</f>
        <v>1450.945125</v>
      </c>
      <c r="W36" s="11" t="n">
        <f aca="false">W28*Assumptions!$B$6/12</f>
        <v>1621.648875</v>
      </c>
      <c r="X36" s="11" t="n">
        <f aca="false">X28*Assumptions!$B$6/12</f>
        <v>1799.335125</v>
      </c>
      <c r="Y36" s="11" t="n">
        <f aca="false">Y28*Assumptions!$B$6/12</f>
        <v>1984.003875</v>
      </c>
      <c r="Z36" s="11" t="n">
        <f aca="false">Z28*Assumptions!$B$6/12</f>
        <v>2225.3686875</v>
      </c>
      <c r="AA36" s="11" t="n">
        <f aca="false">AA28*Assumptions!$B$6/12</f>
        <v>2474.54746875</v>
      </c>
      <c r="AB36" s="11" t="n">
        <f aca="false">AB28*Assumptions!$B$6/12</f>
        <v>2731.35830625</v>
      </c>
      <c r="AC36" s="11" t="n">
        <f aca="false">AC28*Assumptions!$B$6/12</f>
        <v>2995.71024375</v>
      </c>
      <c r="AD36" s="11" t="n">
        <f aca="false">AD28*Assumptions!$B$6/12</f>
        <v>3267.42136875</v>
      </c>
      <c r="AE36" s="11" t="n">
        <f aca="false">AE28*Assumptions!$B$6/12</f>
        <v>3546.49168125</v>
      </c>
      <c r="AF36" s="11" t="n">
        <f aca="false">AF28*Assumptions!$B$6/12</f>
        <v>3832.4664</v>
      </c>
      <c r="AG36" s="11" t="n">
        <f aca="false">AG28*Assumptions!$B$6/12</f>
        <v>4125.345525</v>
      </c>
      <c r="AH36" s="11" t="n">
        <f aca="false">AH28*Assumptions!$B$6/12</f>
        <v>4425.12905625</v>
      </c>
      <c r="AI36" s="11" t="n">
        <f aca="false">AI28*Assumptions!$B$6/12</f>
        <v>4731.81699375</v>
      </c>
      <c r="AJ36" s="11" t="n">
        <f aca="false">AJ28*Assumptions!$B$6/12</f>
        <v>5044.95455625</v>
      </c>
      <c r="AK36" s="11" t="n">
        <f aca="false">AK28*Assumptions!$B$6/12</f>
        <v>5364.54174375</v>
      </c>
    </row>
    <row r="37" customFormat="false" ht="15" hidden="false" customHeight="false" outlineLevel="0" collapsed="false">
      <c r="A37" s="4" t="s">
        <v>103</v>
      </c>
      <c r="B37" s="11" t="n">
        <f aca="false">B29*Assumptions!$B$7</f>
        <v>7.191</v>
      </c>
      <c r="C37" s="11" t="n">
        <f aca="false">C29*Assumptions!$B$7</f>
        <v>17.11458</v>
      </c>
      <c r="D37" s="11" t="n">
        <f aca="false">D29*Assumptions!$B$7</f>
        <v>30.8810304</v>
      </c>
      <c r="E37" s="11" t="n">
        <f aca="false">E29*Assumptions!$B$7</f>
        <v>48.748306752</v>
      </c>
      <c r="F37" s="11" t="n">
        <f aca="false">F29*Assumptions!$B$7</f>
        <v>71.66250994176</v>
      </c>
      <c r="G37" s="11" t="n">
        <f aca="false">G29*Assumptions!$B$7</f>
        <v>99.0180087487488</v>
      </c>
      <c r="H37" s="11" t="n">
        <f aca="false">H29*Assumptions!$B$7</f>
        <v>133.877347698899</v>
      </c>
      <c r="I37" s="11" t="n">
        <f aca="false">I29*Assumptions!$B$7</f>
        <v>175.340065975031</v>
      </c>
      <c r="J37" s="11" t="n">
        <f aca="false">J29*Assumptions!$B$7</f>
        <v>222.613758058027</v>
      </c>
      <c r="K37" s="11" t="n">
        <f aca="false">K29*Assumptions!$B$7</f>
        <v>275.001107091064</v>
      </c>
      <c r="L37" s="11" t="n">
        <f aca="false">L29*Assumptions!$B$7</f>
        <v>335.483974240136</v>
      </c>
      <c r="M37" s="11" t="n">
        <f aca="false">M29*Assumptions!$B$7</f>
        <v>403.09089733132</v>
      </c>
      <c r="N37" s="11" t="n">
        <f aca="false">N29*Assumptions!$B$7</f>
        <v>476.966989651562</v>
      </c>
      <c r="O37" s="11" t="n">
        <f aca="false">O29*Assumptions!$B$7</f>
        <v>556.359950893374</v>
      </c>
      <c r="P37" s="11" t="n">
        <f aca="false">P29*Assumptions!$B$7</f>
        <v>640.607756786169</v>
      </c>
      <c r="Q37" s="11" t="n">
        <f aca="false">Q29*Assumptions!$B$7</f>
        <v>729.127825971829</v>
      </c>
      <c r="R37" s="11" t="n">
        <f aca="false">R29*Assumptions!$B$7</f>
        <v>821.40748685521</v>
      </c>
      <c r="S37" s="11" t="n">
        <f aca="false">S29*Assumptions!$B$7</f>
        <v>916.995588432584</v>
      </c>
      <c r="T37" s="11" t="n">
        <f aca="false">T29*Assumptions!$B$7</f>
        <v>1015.49511782067</v>
      </c>
      <c r="U37" s="11" t="n">
        <f aca="false">U29*Assumptions!$B$7</f>
        <v>1116.55670368219</v>
      </c>
      <c r="V37" s="11" t="n">
        <f aca="false">V29*Assumptions!$B$7</f>
        <v>1219.87289924033</v>
      </c>
      <c r="W37" s="11" t="n">
        <f aca="false">W29*Assumptions!$B$7</f>
        <v>1325.17315133149</v>
      </c>
      <c r="X37" s="11" t="n">
        <f aca="false">X29*Assumptions!$B$7</f>
        <v>1432.21937317171</v>
      </c>
      <c r="Y37" s="11" t="n">
        <f aca="false">Y29*Assumptions!$B$7</f>
        <v>1540.80204839111</v>
      </c>
      <c r="Z37" s="11" t="n">
        <f aca="false">Z29*Assumptions!$B$7</f>
        <v>1665.47835258417</v>
      </c>
      <c r="AA37" s="11" t="n">
        <f aca="false">AA29*Assumptions!$B$7</f>
        <v>1790.29460027407</v>
      </c>
      <c r="AB37" s="11" t="n">
        <f aca="false">AB29*Assumptions!$B$7</f>
        <v>1915.23399824118</v>
      </c>
      <c r="AC37" s="11" t="n">
        <f aca="false">AC29*Assumptions!$B$7</f>
        <v>2040.28176845224</v>
      </c>
      <c r="AD37" s="11" t="n">
        <f aca="false">AD29*Assumptions!$B$7</f>
        <v>2165.42490623797</v>
      </c>
      <c r="AE37" s="11" t="n">
        <f aca="false">AE29*Assumptions!$B$7</f>
        <v>2290.65196748942</v>
      </c>
      <c r="AF37" s="11" t="n">
        <f aca="false">AF29*Assumptions!$B$7</f>
        <v>2415.95288139069</v>
      </c>
      <c r="AG37" s="11" t="n">
        <f aca="false">AG29*Assumptions!$B$7</f>
        <v>2541.3187856238</v>
      </c>
      <c r="AH37" s="11" t="n">
        <f aca="false">AH29*Assumptions!$B$7</f>
        <v>2666.74188134895</v>
      </c>
      <c r="AI37" s="11" t="n">
        <f aca="false">AI29*Assumptions!$B$7</f>
        <v>2792.21530558707</v>
      </c>
      <c r="AJ37" s="11" t="n">
        <f aca="false">AJ29*Assumptions!$B$7</f>
        <v>2917.73301891662</v>
      </c>
      <c r="AK37" s="11" t="n">
        <f aca="false">AK29*Assumptions!$B$7</f>
        <v>3043.28970664663</v>
      </c>
    </row>
    <row r="38" customFormat="false" ht="15" hidden="false" customHeight="false" outlineLevel="0" collapsed="false">
      <c r="A38" s="4" t="s">
        <v>104</v>
      </c>
      <c r="B38" s="11" t="n">
        <f aca="false">B23*Assumptions!$B$8</f>
        <v>41.8</v>
      </c>
      <c r="C38" s="11" t="n">
        <f aca="false">C23*Assumptions!$B$8</f>
        <v>62.7</v>
      </c>
      <c r="D38" s="11" t="n">
        <f aca="false">D23*Assumptions!$B$8</f>
        <v>91.96</v>
      </c>
      <c r="E38" s="11" t="n">
        <f aca="false">E23*Assumptions!$B$8</f>
        <v>125.4</v>
      </c>
      <c r="F38" s="11" t="n">
        <f aca="false">F23*Assumptions!$B$8</f>
        <v>167.2</v>
      </c>
      <c r="G38" s="11" t="n">
        <f aca="false">G23*Assumptions!$B$8</f>
        <v>209</v>
      </c>
      <c r="H38" s="11" t="n">
        <f aca="false">H23*Assumptions!$B$8</f>
        <v>271.7</v>
      </c>
      <c r="I38" s="11" t="n">
        <f aca="false">I23*Assumptions!$B$8</f>
        <v>334.4</v>
      </c>
      <c r="J38" s="11" t="n">
        <f aca="false">J23*Assumptions!$B$8</f>
        <v>397.1</v>
      </c>
      <c r="K38" s="11" t="n">
        <f aca="false">K23*Assumptions!$B$8</f>
        <v>459.8</v>
      </c>
      <c r="L38" s="11" t="n">
        <f aca="false">L23*Assumptions!$B$8</f>
        <v>543.4</v>
      </c>
      <c r="M38" s="11" t="n">
        <f aca="false">M23*Assumptions!$B$8</f>
        <v>627</v>
      </c>
      <c r="N38" s="11" t="n">
        <f aca="false">N23*Assumptions!$B$8</f>
        <v>888.25</v>
      </c>
      <c r="O38" s="11" t="n">
        <f aca="false">O23*Assumptions!$B$8</f>
        <v>992.75</v>
      </c>
      <c r="P38" s="11" t="n">
        <f aca="false">P23*Assumptions!$B$8</f>
        <v>1097.25</v>
      </c>
      <c r="Q38" s="11" t="n">
        <f aca="false">Q23*Assumptions!$B$8</f>
        <v>1201.75</v>
      </c>
      <c r="R38" s="11" t="n">
        <f aca="false">R23*Assumptions!$B$8</f>
        <v>1306.25</v>
      </c>
      <c r="S38" s="11" t="n">
        <f aca="false">S23*Assumptions!$B$8</f>
        <v>1410.75</v>
      </c>
      <c r="T38" s="11" t="n">
        <f aca="false">T23*Assumptions!$B$8</f>
        <v>1515.25</v>
      </c>
      <c r="U38" s="11" t="n">
        <f aca="false">U23*Assumptions!$B$8</f>
        <v>1619.75</v>
      </c>
      <c r="V38" s="11" t="n">
        <f aca="false">V23*Assumptions!$B$8</f>
        <v>1724.25</v>
      </c>
      <c r="W38" s="11" t="n">
        <f aca="false">W23*Assumptions!$B$8</f>
        <v>1828.75</v>
      </c>
      <c r="X38" s="11" t="n">
        <f aca="false">X23*Assumptions!$B$8</f>
        <v>1933.25</v>
      </c>
      <c r="Y38" s="11" t="n">
        <f aca="false">Y23*Assumptions!$B$8</f>
        <v>2037.75</v>
      </c>
      <c r="Z38" s="11" t="n">
        <f aca="false">Z23*Assumptions!$B$8</f>
        <v>2570.7</v>
      </c>
      <c r="AA38" s="11" t="n">
        <f aca="false">AA23*Assumptions!$B$8</f>
        <v>2696.1</v>
      </c>
      <c r="AB38" s="11" t="n">
        <f aca="false">AB23*Assumptions!$B$8</f>
        <v>2821.5</v>
      </c>
      <c r="AC38" s="11" t="n">
        <f aca="false">AC23*Assumptions!$B$8</f>
        <v>2946.9</v>
      </c>
      <c r="AD38" s="11" t="n">
        <f aca="false">AD23*Assumptions!$B$8</f>
        <v>3072.3</v>
      </c>
      <c r="AE38" s="11" t="n">
        <f aca="false">AE23*Assumptions!$B$8</f>
        <v>3197.7</v>
      </c>
      <c r="AF38" s="11" t="n">
        <f aca="false">AF23*Assumptions!$B$8</f>
        <v>3323.1</v>
      </c>
      <c r="AG38" s="11" t="n">
        <f aca="false">AG23*Assumptions!$B$8</f>
        <v>3448.5</v>
      </c>
      <c r="AH38" s="11" t="n">
        <f aca="false">AH23*Assumptions!$B$8</f>
        <v>3573.9</v>
      </c>
      <c r="AI38" s="11" t="n">
        <f aca="false">AI23*Assumptions!$B$8</f>
        <v>3699.3</v>
      </c>
      <c r="AJ38" s="11" t="n">
        <f aca="false">AJ23*Assumptions!$B$8</f>
        <v>3824.7</v>
      </c>
      <c r="AK38" s="11" t="n">
        <f aca="false">AK23*Assumptions!$B$8</f>
        <v>3950.1</v>
      </c>
    </row>
    <row r="39" customFormat="false" ht="15" hidden="false" customHeight="false" outlineLevel="0" collapsed="false">
      <c r="A39" s="4" t="s">
        <v>100</v>
      </c>
      <c r="B39" s="11" t="n">
        <f aca="false">B30*Assumptions!$B$9</f>
        <v>0</v>
      </c>
      <c r="C39" s="11" t="n">
        <f aca="false">C30*Assumptions!$B$9</f>
        <v>0</v>
      </c>
      <c r="D39" s="11" t="n">
        <f aca="false">D30*Assumptions!$B$9</f>
        <v>98</v>
      </c>
      <c r="E39" s="11" t="n">
        <f aca="false">E30*Assumptions!$B$9</f>
        <v>240.1</v>
      </c>
      <c r="F39" s="11" t="n">
        <f aca="false">F30*Assumptions!$B$9</f>
        <v>424.095</v>
      </c>
      <c r="G39" s="11" t="n">
        <f aca="false">G30*Assumptions!$B$9</f>
        <v>647.89025</v>
      </c>
      <c r="H39" s="11" t="n">
        <f aca="false">H30*Assumptions!$B$9</f>
        <v>909.4957375</v>
      </c>
      <c r="I39" s="11" t="n">
        <f aca="false">I30*Assumptions!$B$9</f>
        <v>1158.020950625</v>
      </c>
      <c r="J39" s="11" t="n">
        <f aca="false">J30*Assumptions!$B$9</f>
        <v>1443.11990309375</v>
      </c>
      <c r="K39" s="11" t="n">
        <f aca="false">K30*Assumptions!$B$9</f>
        <v>1762.96390793906</v>
      </c>
      <c r="L39" s="11" t="n">
        <f aca="false">L30*Assumptions!$B$9</f>
        <v>2066.81571254211</v>
      </c>
      <c r="M39" s="11" t="n">
        <f aca="false">M30*Assumptions!$B$9</f>
        <v>2404.474926915</v>
      </c>
      <c r="N39" s="11" t="n">
        <f aca="false">N30*Assumptions!$B$9</f>
        <v>2774.25118056925</v>
      </c>
      <c r="O39" s="11" t="n">
        <f aca="false">O30*Assumptions!$B$9</f>
        <v>3174.53862154079</v>
      </c>
      <c r="P39" s="11" t="n">
        <f aca="false">P30*Assumptions!$B$9</f>
        <v>3603.81169046375</v>
      </c>
      <c r="Q39" s="11" t="n">
        <f aca="false">Q30*Assumptions!$B$9</f>
        <v>4060.62110594056</v>
      </c>
      <c r="R39" s="11" t="n">
        <f aca="false">R30*Assumptions!$B$9</f>
        <v>4543.59005064354</v>
      </c>
      <c r="S39" s="11" t="n">
        <f aca="false">S30*Assumptions!$B$9</f>
        <v>5051.41054811136</v>
      </c>
      <c r="T39" s="11" t="n">
        <f aca="false">T30*Assumptions!$B$9</f>
        <v>5582.84002070579</v>
      </c>
      <c r="U39" s="11" t="n">
        <f aca="false">U30*Assumptions!$B$9</f>
        <v>6136.6980196705</v>
      </c>
      <c r="V39" s="11" t="n">
        <f aca="false">V30*Assumptions!$B$9</f>
        <v>6711.86311868697</v>
      </c>
      <c r="W39" s="11" t="n">
        <f aca="false">W30*Assumptions!$B$9</f>
        <v>7307.26996275262</v>
      </c>
      <c r="X39" s="11" t="n">
        <f aca="false">X30*Assumptions!$B$9</f>
        <v>7921.90646461499</v>
      </c>
      <c r="Y39" s="11" t="n">
        <f aca="false">Y30*Assumptions!$B$9</f>
        <v>8554.81114138424</v>
      </c>
      <c r="Z39" s="11" t="n">
        <f aca="false">Z30*Assumptions!$B$9</f>
        <v>9376.16680714272</v>
      </c>
      <c r="AA39" s="11" t="n">
        <f aca="false">AA30*Assumptions!$B$9</f>
        <v>10221.8818029284</v>
      </c>
      <c r="AB39" s="11" t="n">
        <f aca="false">AB30*Assumptions!$B$9</f>
        <v>11091.2253488406</v>
      </c>
      <c r="AC39" s="11" t="n">
        <f aca="false">AC30*Assumptions!$B$9</f>
        <v>11983.4885883754</v>
      </c>
      <c r="AD39" s="11" t="n">
        <f aca="false">AD30*Assumptions!$B$9</f>
        <v>12897.9839307241</v>
      </c>
      <c r="AE39" s="11" t="n">
        <f aca="false">AE30*Assumptions!$B$9</f>
        <v>13834.0444128024</v>
      </c>
      <c r="AF39" s="11" t="n">
        <f aca="false">AF30*Assumptions!$B$9</f>
        <v>14791.0230804183</v>
      </c>
      <c r="AG39" s="11" t="n">
        <f aca="false">AG30*Assumptions!$B$9</f>
        <v>15768.2923880058</v>
      </c>
      <c r="AH39" s="11" t="n">
        <f aca="false">AH30*Assumptions!$B$9</f>
        <v>16765.2436163656</v>
      </c>
      <c r="AI39" s="11" t="n">
        <f aca="false">AI30*Assumptions!$B$9</f>
        <v>17781.2863078746</v>
      </c>
      <c r="AJ39" s="11" t="n">
        <f aca="false">AJ30*Assumptions!$B$9</f>
        <v>18815.8477186384</v>
      </c>
      <c r="AK39" s="11" t="n">
        <f aca="false">AK30*Assumptions!$B$9</f>
        <v>19868.3722870792</v>
      </c>
    </row>
    <row r="40" customFormat="false" ht="15" hidden="false" customHeight="false" outlineLevel="0" collapsed="false">
      <c r="A40" s="4" t="s">
        <v>105</v>
      </c>
      <c r="B40" s="11" t="n">
        <f aca="false">B15*Assumptions!$B$10</f>
        <v>498</v>
      </c>
      <c r="C40" s="11" t="n">
        <f aca="false">C15*Assumptions!$B$10</f>
        <v>747</v>
      </c>
      <c r="D40" s="11" t="n">
        <f aca="false">D15*Assumptions!$B$10</f>
        <v>996</v>
      </c>
      <c r="E40" s="11" t="n">
        <f aca="false">E15*Assumptions!$B$10</f>
        <v>1245</v>
      </c>
      <c r="F40" s="11" t="n">
        <f aca="false">F15*Assumptions!$B$10</f>
        <v>1494</v>
      </c>
      <c r="G40" s="11" t="n">
        <f aca="false">G15*Assumptions!$B$10</f>
        <v>1743</v>
      </c>
      <c r="H40" s="11" t="n">
        <f aca="false">H15*Assumptions!$B$10</f>
        <v>1992</v>
      </c>
      <c r="I40" s="11" t="n">
        <f aca="false">I15*Assumptions!$B$10</f>
        <v>1992</v>
      </c>
      <c r="J40" s="11" t="n">
        <f aca="false">J15*Assumptions!$B$10</f>
        <v>2241</v>
      </c>
      <c r="K40" s="11" t="n">
        <f aca="false">K15*Assumptions!$B$10</f>
        <v>2490</v>
      </c>
      <c r="L40" s="11" t="n">
        <f aca="false">L15*Assumptions!$B$10</f>
        <v>2490</v>
      </c>
      <c r="M40" s="11" t="n">
        <f aca="false">M15*Assumptions!$B$10</f>
        <v>2490</v>
      </c>
      <c r="N40" s="11" t="n">
        <f aca="false">N15*Assumptions!$B$10</f>
        <v>2988</v>
      </c>
      <c r="O40" s="11" t="n">
        <f aca="false">O15*Assumptions!$B$10</f>
        <v>3486</v>
      </c>
      <c r="P40" s="11" t="n">
        <f aca="false">P15*Assumptions!$B$10</f>
        <v>3984</v>
      </c>
      <c r="Q40" s="11" t="n">
        <f aca="false">Q15*Assumptions!$B$10</f>
        <v>4482</v>
      </c>
      <c r="R40" s="11" t="n">
        <f aca="false">R15*Assumptions!$B$10</f>
        <v>4980</v>
      </c>
      <c r="S40" s="11" t="n">
        <f aca="false">S15*Assumptions!$B$10</f>
        <v>4980</v>
      </c>
      <c r="T40" s="11" t="n">
        <f aca="false">T15*Assumptions!$B$10</f>
        <v>5478</v>
      </c>
      <c r="U40" s="11" t="n">
        <f aca="false">U15*Assumptions!$B$10</f>
        <v>5478</v>
      </c>
      <c r="V40" s="11" t="n">
        <f aca="false">V15*Assumptions!$B$10</f>
        <v>5976</v>
      </c>
      <c r="W40" s="11" t="n">
        <f aca="false">W15*Assumptions!$B$10</f>
        <v>5976</v>
      </c>
      <c r="X40" s="11" t="n">
        <f aca="false">X15*Assumptions!$B$10</f>
        <v>6225</v>
      </c>
      <c r="Y40" s="11" t="n">
        <f aca="false">Y15*Assumptions!$B$10</f>
        <v>6225</v>
      </c>
      <c r="Z40" s="11" t="n">
        <f aca="false">Z15*Assumptions!$B$10</f>
        <v>6225</v>
      </c>
      <c r="AA40" s="11" t="n">
        <f aca="false">AA15*Assumptions!$B$10</f>
        <v>6474</v>
      </c>
      <c r="AB40" s="11" t="n">
        <f aca="false">AB15*Assumptions!$B$10</f>
        <v>6474</v>
      </c>
      <c r="AC40" s="11" t="n">
        <f aca="false">AC15*Assumptions!$B$10</f>
        <v>6723</v>
      </c>
      <c r="AD40" s="11" t="n">
        <f aca="false">AD15*Assumptions!$B$10</f>
        <v>6723</v>
      </c>
      <c r="AE40" s="11" t="n">
        <f aca="false">AE15*Assumptions!$B$10</f>
        <v>6972</v>
      </c>
      <c r="AF40" s="11" t="n">
        <f aca="false">AF15*Assumptions!$B$10</f>
        <v>6972</v>
      </c>
      <c r="AG40" s="11" t="n">
        <f aca="false">AG15*Assumptions!$B$10</f>
        <v>7221</v>
      </c>
      <c r="AH40" s="11" t="n">
        <f aca="false">AH15*Assumptions!$B$10</f>
        <v>7221</v>
      </c>
      <c r="AI40" s="11" t="n">
        <f aca="false">AI15*Assumptions!$B$10</f>
        <v>7470</v>
      </c>
      <c r="AJ40" s="11" t="n">
        <f aca="false">AJ15*Assumptions!$B$10</f>
        <v>7470</v>
      </c>
      <c r="AK40" s="11" t="n">
        <f aca="false">AK15*Assumptions!$B$10</f>
        <v>7470</v>
      </c>
    </row>
    <row r="41" customFormat="false" ht="15" hidden="false" customHeight="false" outlineLevel="0" collapsed="false">
      <c r="A41" s="4" t="s">
        <v>177</v>
      </c>
      <c r="B41" s="11" t="n">
        <f aca="false">IF(B4&gt;=6,B33*B18,0)</f>
        <v>0</v>
      </c>
      <c r="C41" s="11" t="n">
        <f aca="false">IF(C4&gt;=6,C33*C18,0)</f>
        <v>0</v>
      </c>
      <c r="D41" s="11" t="n">
        <f aca="false">IF(D4&gt;=6,D33*D18,0)</f>
        <v>0</v>
      </c>
      <c r="E41" s="11" t="n">
        <f aca="false">IF(E4&gt;=6,E33*E18,0)</f>
        <v>0</v>
      </c>
      <c r="F41" s="11" t="n">
        <f aca="false">IF(F4&gt;=6,F33*F18,0)</f>
        <v>0</v>
      </c>
      <c r="G41" s="11" t="n">
        <f aca="false">IF(G4&gt;=6,G33*G18,0)</f>
        <v>157.316098563802</v>
      </c>
      <c r="H41" s="11" t="n">
        <f aca="false">IF(H4&gt;=6,H33*H18,0)</f>
        <v>205.115415086145</v>
      </c>
      <c r="I41" s="11" t="n">
        <f aca="false">IF(I4&gt;=6,I33*I18,0)</f>
        <v>253.258443608308</v>
      </c>
      <c r="J41" s="11" t="n">
        <f aca="false">IF(J4&gt;=6,J33*J18,0)</f>
        <v>301.909735191186</v>
      </c>
      <c r="K41" s="11" t="n">
        <f aca="false">IF(K4&gt;=6,K33*K18,0)</f>
        <v>351.046862943325</v>
      </c>
      <c r="L41" s="11" t="n">
        <f aca="false">IF(L4&gt;=6,L33*L18,0)</f>
        <v>415.631620966453</v>
      </c>
      <c r="M41" s="11" t="n">
        <f aca="false">IF(M4&gt;=6,M33*M18,0)</f>
        <v>480.82506134799</v>
      </c>
      <c r="N41" s="11" t="n">
        <f aca="false">IF(N4&gt;=6,N33*N18,0)</f>
        <v>1095.77923107773</v>
      </c>
      <c r="O41" s="11" t="n">
        <f aca="false">IF(O4&gt;=6,O33*O18,0)</f>
        <v>1231.26397309841</v>
      </c>
      <c r="P41" s="11" t="n">
        <f aca="false">IF(P4&gt;=6,P33*P18,0)</f>
        <v>1368.02767218911</v>
      </c>
      <c r="Q41" s="11" t="n">
        <f aca="false">IF(Q4&gt;=6,Q33*Q18,0)</f>
        <v>1506.0156115958</v>
      </c>
      <c r="R41" s="11" t="n">
        <f aca="false">IF(R4&gt;=6,R33*R18,0)</f>
        <v>1645.15893683021</v>
      </c>
      <c r="S41" s="11" t="n">
        <f aca="false">IF(S4&gt;=6,S33*S18,0)</f>
        <v>1785.4277110652</v>
      </c>
      <c r="T41" s="11" t="n">
        <f aca="false">IF(T4&gt;=6,T33*T18,0)</f>
        <v>1926.70581721927</v>
      </c>
      <c r="U41" s="11" t="n">
        <f aca="false">IF(U4&gt;=6,U33*U18,0)</f>
        <v>2068.96884122075</v>
      </c>
      <c r="V41" s="11" t="n">
        <f aca="false">IF(V4&gt;=6,V33*V18,0)</f>
        <v>2212.19469159866</v>
      </c>
      <c r="W41" s="11" t="n">
        <f aca="false">IF(W4&gt;=6,W33*W18,0)</f>
        <v>2356.363351125</v>
      </c>
      <c r="X41" s="11" t="n">
        <f aca="false">IF(X4&gt;=6,X33*X18,0)</f>
        <v>2501.36755674227</v>
      </c>
      <c r="Y41" s="11" t="n">
        <f aca="false">IF(Y4&gt;=6,Y33*Y18,0)</f>
        <v>2647.19080445786</v>
      </c>
      <c r="Z41" s="11" t="n">
        <f aca="false">IF(Z4&gt;=6,Z33*Z18,0)</f>
        <v>3733.49629300691</v>
      </c>
      <c r="AA41" s="11" t="n">
        <f aca="false">IF(AA4&gt;=6,AA33*AA18,0)</f>
        <v>3938.5704158638</v>
      </c>
      <c r="AB41" s="11" t="n">
        <f aca="false">IF(AB4&gt;=6,AB33*AB18,0)</f>
        <v>4144.78055633334</v>
      </c>
      <c r="AC41" s="11" t="n">
        <f aca="false">IF(AC4&gt;=6,AC33*AC18,0)</f>
        <v>4352.10819072334</v>
      </c>
      <c r="AD41" s="11" t="n">
        <f aca="false">IF(AD4&gt;=6,AD33*AD18,0)</f>
        <v>4560.52441819364</v>
      </c>
      <c r="AE41" s="11" t="n">
        <f aca="false">IF(AE4&gt;=6,AE33*AE18,0)</f>
        <v>4770.02201772239</v>
      </c>
      <c r="AF41" s="11" t="n">
        <f aca="false">IF(AF4&gt;=6,AF33*AF18,0)</f>
        <v>4980.54058679392</v>
      </c>
      <c r="AG41" s="11" t="n">
        <f aca="false">IF(AG4&gt;=6,AG33*AG18,0)</f>
        <v>5192.07344561853</v>
      </c>
      <c r="AH41" s="11" t="n">
        <f aca="false">IF(AH4&gt;=6,AH33*AH18,0)</f>
        <v>5404.61416271659</v>
      </c>
      <c r="AI41" s="11" t="n">
        <f aca="false">IF(AI4&gt;=6,AI33*AI18,0)</f>
        <v>5618.15654171931</v>
      </c>
      <c r="AJ41" s="11" t="n">
        <f aca="false">IF(AJ4&gt;=6,AJ33*AJ18,0)</f>
        <v>5832.64114925545</v>
      </c>
      <c r="AK41" s="11" t="n">
        <f aca="false">IF(AK4&gt;=6,AK33*AK18,0)</f>
        <v>6048.06222380857</v>
      </c>
    </row>
    <row r="42" customFormat="false" ht="15" hidden="false" customHeight="false" outlineLevel="0" collapsed="false">
      <c r="A42" s="38" t="s">
        <v>107</v>
      </c>
      <c r="B42" s="23" t="n">
        <f aca="false">SUM(B36:B41)</f>
        <v>550.666</v>
      </c>
      <c r="C42" s="23" t="n">
        <f aca="false">SUM(C36:C41)</f>
        <v>836.00208</v>
      </c>
      <c r="D42" s="23" t="n">
        <f aca="false">SUM(D36:D41)</f>
        <v>1234.1135304</v>
      </c>
      <c r="E42" s="23" t="n">
        <f aca="false">SUM(E36:E41)</f>
        <v>1687.545806752</v>
      </c>
      <c r="F42" s="23" t="n">
        <f aca="false">SUM(F36:F41)</f>
        <v>2199.95500994176</v>
      </c>
      <c r="G42" s="23" t="n">
        <f aca="false">SUM(G36:G41)</f>
        <v>2917.59685731255</v>
      </c>
      <c r="H42" s="23" t="n">
        <f aca="false">SUM(H36:H41)</f>
        <v>3597.44850028504</v>
      </c>
      <c r="I42" s="23" t="n">
        <f aca="false">SUM(I36:I41)</f>
        <v>4027.67946020834</v>
      </c>
      <c r="J42" s="23" t="n">
        <f aca="false">SUM(J36:J41)</f>
        <v>4755.31589634296</v>
      </c>
      <c r="K42" s="23" t="n">
        <f aca="false">SUM(K36:K41)</f>
        <v>5528.80937797345</v>
      </c>
      <c r="L42" s="23" t="n">
        <f aca="false">SUM(L36:L41)</f>
        <v>6089.1038077487</v>
      </c>
      <c r="M42" s="23" t="n">
        <f aca="false">SUM(M36:M41)</f>
        <v>6698.28838559431</v>
      </c>
      <c r="N42" s="23" t="n">
        <f aca="false">SUM(N36:N41)</f>
        <v>8607.83615129855</v>
      </c>
      <c r="O42" s="23" t="n">
        <f aca="false">SUM(O36:O41)</f>
        <v>9927.20692053258</v>
      </c>
      <c r="P42" s="23" t="n">
        <f aca="false">SUM(P36:P41)</f>
        <v>11291.307244439</v>
      </c>
      <c r="Q42" s="23" t="n">
        <f aca="false">SUM(Q36:Q41)</f>
        <v>12697.8484185082</v>
      </c>
      <c r="R42" s="23" t="n">
        <f aca="false">SUM(R36:R41)</f>
        <v>14144.467849329</v>
      </c>
      <c r="S42" s="23" t="n">
        <f aca="false">SUM(S36:S41)</f>
        <v>15131.3764726091</v>
      </c>
      <c r="T42" s="23" t="n">
        <f aca="false">SUM(T36:T41)</f>
        <v>16651.8079557457</v>
      </c>
      <c r="U42" s="23" t="n">
        <f aca="false">SUM(U36:U41)</f>
        <v>17708.2080645734</v>
      </c>
      <c r="V42" s="23" t="n">
        <f aca="false">SUM(V36:V41)</f>
        <v>19295.125834526</v>
      </c>
      <c r="W42" s="23" t="n">
        <f aca="false">SUM(W36:W41)</f>
        <v>20415.2053402091</v>
      </c>
      <c r="X42" s="23" t="n">
        <f aca="false">SUM(X36:X41)</f>
        <v>21813.078519529</v>
      </c>
      <c r="Y42" s="23" t="n">
        <f aca="false">SUM(Y36:Y41)</f>
        <v>22989.5578692332</v>
      </c>
      <c r="Z42" s="23" t="n">
        <f aca="false">SUM(Z36:Z41)</f>
        <v>25796.2101402338</v>
      </c>
      <c r="AA42" s="23" t="n">
        <f aca="false">SUM(AA36:AA41)</f>
        <v>27595.3942878163</v>
      </c>
      <c r="AB42" s="23" t="n">
        <f aca="false">SUM(AB36:AB41)</f>
        <v>29178.0982096651</v>
      </c>
      <c r="AC42" s="23" t="n">
        <f aca="false">SUM(AC36:AC41)</f>
        <v>31041.4887913009</v>
      </c>
      <c r="AD42" s="23" t="n">
        <f aca="false">SUM(AD36:AD41)</f>
        <v>32686.6546239057</v>
      </c>
      <c r="AE42" s="23" t="n">
        <f aca="false">SUM(AE36:AE41)</f>
        <v>34610.9100792642</v>
      </c>
      <c r="AF42" s="23" t="n">
        <f aca="false">SUM(AF36:AF41)</f>
        <v>36315.0829486029</v>
      </c>
      <c r="AG42" s="23" t="n">
        <f aca="false">SUM(AG36:AG41)</f>
        <v>38296.5301442481</v>
      </c>
      <c r="AH42" s="23" t="n">
        <f aca="false">SUM(AH36:AH41)</f>
        <v>40056.6287166811</v>
      </c>
      <c r="AI42" s="23" t="n">
        <f aca="false">SUM(AI36:AI41)</f>
        <v>42092.775148931</v>
      </c>
      <c r="AJ42" s="23" t="n">
        <f aca="false">SUM(AJ36:AJ41)</f>
        <v>43905.8764430605</v>
      </c>
      <c r="AK42" s="23" t="n">
        <f aca="false">SUM(AK36:AK41)</f>
        <v>45744.3659612844</v>
      </c>
    </row>
    <row r="43" customFormat="false" ht="15" hidden="false" customHeight="false" outlineLevel="0" collapsed="false">
      <c r="A43" s="4" t="s">
        <v>178</v>
      </c>
      <c r="B43" s="11" t="n">
        <f aca="false">B27*Assumptions!$B$6+B37+B38+B39+B40+B41</f>
        <v>591.091</v>
      </c>
      <c r="C43" s="11" t="n">
        <f aca="false">C27*Assumptions!$B$6+C37+C38+C39+C40+C41</f>
        <v>892.96458</v>
      </c>
      <c r="D43" s="11" t="n">
        <f aca="false">D27*Assumptions!$B$6+D37+D38+D39+D40+D41</f>
        <v>1313.8610304</v>
      </c>
      <c r="E43" s="11" t="n">
        <f aca="false">E27*Assumptions!$B$6+E37+E38+E39+E40+E41</f>
        <v>1791.548306752</v>
      </c>
      <c r="F43" s="11" t="n">
        <f aca="false">F27*Assumptions!$B$6+F37+F38+F39+F40+F41</f>
        <v>2333.35750994176</v>
      </c>
      <c r="G43" s="11" t="n">
        <f aca="false">G27*Assumptions!$B$6+G37+G38+G39+G40+G41</f>
        <v>3076.72435731255</v>
      </c>
      <c r="H43" s="11" t="n">
        <f aca="false">H27*Assumptions!$B$6+H37+H38+H39+H40+H41</f>
        <v>3798.83850028504</v>
      </c>
      <c r="I43" s="11" t="n">
        <f aca="false">I27*Assumptions!$B$6+I37+I38+I39+I40+I41</f>
        <v>4265.81946020834</v>
      </c>
      <c r="J43" s="11" t="n">
        <f aca="false">J27*Assumptions!$B$6+J37+J38+J39+J40+J41</f>
        <v>5024.69339634296</v>
      </c>
      <c r="K43" s="11" t="n">
        <f aca="false">K27*Assumptions!$B$6+K37+K38+K39+K40+K41</f>
        <v>5823.91187797345</v>
      </c>
      <c r="L43" s="11" t="n">
        <f aca="false">L27*Assumptions!$B$6+L37+L38+L39+L40+L41</f>
        <v>6424.6313077487</v>
      </c>
      <c r="M43" s="11" t="n">
        <f aca="false">M27*Assumptions!$B$6+M37+M38+M39+M40+M41</f>
        <v>7066.89088559431</v>
      </c>
      <c r="N43" s="11" t="n">
        <f aca="false">N27*Assumptions!$B$6+N37+N38+N39+N40+N41</f>
        <v>9367.64240129855</v>
      </c>
      <c r="O43" s="11" t="n">
        <f aca="false">O27*Assumptions!$B$6+O37+O38+O39+O40+O41</f>
        <v>10727.5300455326</v>
      </c>
      <c r="P43" s="11" t="n">
        <f aca="false">P27*Assumptions!$B$6+P37+P38+P39+P40+P41</f>
        <v>12126.506119439</v>
      </c>
      <c r="Q43" s="11" t="n">
        <f aca="false">Q27*Assumptions!$B$6+Q37+Q38+Q39+Q40+Q41</f>
        <v>13560.4995435082</v>
      </c>
      <c r="R43" s="11" t="n">
        <f aca="false">R27*Assumptions!$B$6+R37+R38+R39+R40+R41</f>
        <v>15029.536474329</v>
      </c>
      <c r="S43" s="11" t="n">
        <f aca="false">S27*Assumptions!$B$6+S37+S38+S39+S40+S41</f>
        <v>16029.8588476091</v>
      </c>
      <c r="T43" s="11" t="n">
        <f aca="false">T27*Assumptions!$B$6+T37+T38+T39+T40+T41</f>
        <v>17565.6334557457</v>
      </c>
      <c r="U43" s="11" t="n">
        <f aca="false">U27*Assumptions!$B$6+U37+U38+U39+U40+U41</f>
        <v>18629.3835645734</v>
      </c>
      <c r="V43" s="11" t="n">
        <f aca="false">V27*Assumptions!$B$6+V37+V38+V39+V40+V41</f>
        <v>20215.658209526</v>
      </c>
      <c r="W43" s="11" t="n">
        <f aca="false">W27*Assumptions!$B$6+W37+W38+W39+W40+W41</f>
        <v>21327.1014652091</v>
      </c>
      <c r="X43" s="11" t="n">
        <f aca="false">X27*Assumptions!$B$6+X37+X38+X39+X40+X41</f>
        <v>22719.278394529</v>
      </c>
      <c r="Y43" s="11" t="n">
        <f aca="false">Y27*Assumptions!$B$6+Y37+Y38+Y39+Y40+Y41</f>
        <v>23883.0789942332</v>
      </c>
      <c r="Z43" s="11" t="n">
        <f aca="false">Z27*Assumptions!$B$6+Z37+Z38+Z39+Z40+Z41</f>
        <v>27611.6142027338</v>
      </c>
      <c r="AA43" s="11" t="n">
        <f aca="false">AA27*Assumptions!$B$6+AA37+AA38+AA39+AA40+AA41</f>
        <v>29397.6096940663</v>
      </c>
      <c r="AB43" s="11" t="n">
        <f aca="false">AB27*Assumptions!$B$6+AB37+AB38+AB39+AB40+AB41</f>
        <v>30961.2789534151</v>
      </c>
      <c r="AC43" s="11" t="n">
        <f aca="false">AC27*Assumptions!$B$6+AC37+AC38+AC39+AC40+AC41</f>
        <v>32798.9867975509</v>
      </c>
      <c r="AD43" s="11" t="n">
        <f aca="false">AD27*Assumptions!$B$6+AD37+AD38+AD39+AD40+AD41</f>
        <v>34412.8967551557</v>
      </c>
      <c r="AE43" s="11" t="n">
        <f aca="false">AE27*Assumptions!$B$6+AE37+AE38+AE39+AE40+AE41</f>
        <v>36298.5371480142</v>
      </c>
      <c r="AF43" s="11" t="n">
        <f aca="false">AF27*Assumptions!$B$6+AF37+AF38+AF39+AF40+AF41</f>
        <v>37961.6556736029</v>
      </c>
      <c r="AG43" s="11" t="n">
        <f aca="false">AG27*Assumptions!$B$6+AG37+AG38+AG39+AG40+AG41</f>
        <v>39895.1441192481</v>
      </c>
      <c r="AH43" s="11" t="n">
        <f aca="false">AH27*Assumptions!$B$6+AH37+AH38+AH39+AH40+AH41</f>
        <v>41600.3795354311</v>
      </c>
      <c r="AI43" s="11" t="n">
        <f aca="false">AI27*Assumptions!$B$6+AI37+AI38+AI39+AI40+AI41</f>
        <v>43574.758405181</v>
      </c>
      <c r="AJ43" s="11" t="n">
        <f aca="false">AJ27*Assumptions!$B$6+AJ37+AJ38+AJ39+AJ40+AJ41</f>
        <v>45324.1076368105</v>
      </c>
      <c r="AK43" s="11" t="n">
        <f aca="false">AK27*Assumptions!$B$6+AK37+AK38+AK39+AK40+AK41</f>
        <v>47092.3954675344</v>
      </c>
    </row>
    <row r="45" customFormat="false" ht="15" hidden="false" customHeight="false" outlineLevel="0" collapsed="false">
      <c r="A45" s="34" t="s">
        <v>179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</row>
    <row r="46" customFormat="false" ht="15" hidden="false" customHeight="false" outlineLevel="0" collapsed="false">
      <c r="A46" s="4" t="s">
        <v>180</v>
      </c>
      <c r="B46" s="11" t="n">
        <f aca="false">(B74+B75+B76)*Assumptions!$B$66</f>
        <v>57.1626643888313</v>
      </c>
      <c r="C46" s="11" t="n">
        <f aca="false">(C74+C75+C76)*Assumptions!$B$66</f>
        <v>117.557202617768</v>
      </c>
      <c r="D46" s="11" t="n">
        <f aca="false">(D74+D75+D76)*Assumptions!$B$66</f>
        <v>184.195813046544</v>
      </c>
      <c r="E46" s="11" t="n">
        <f aca="false">(E74+E75+E76)*Assumptions!$B$66</f>
        <v>255.529475364181</v>
      </c>
      <c r="F46" s="11" t="n">
        <f aca="false">(F74+F75+F76)*Assumptions!$B$66</f>
        <v>332.095017724353</v>
      </c>
      <c r="G46" s="11" t="n">
        <f aca="false">(G74+G75+G76)*Assumptions!$B$66</f>
        <v>412.47070987495</v>
      </c>
      <c r="H46" s="11" t="n">
        <f aca="false">(H74+H75+H76)*Assumptions!$B$66</f>
        <v>499.723396299285</v>
      </c>
      <c r="I46" s="11" t="n">
        <f aca="false">(I74+I75+I76)*Assumptions!$B$66</f>
        <v>591.526580948654</v>
      </c>
      <c r="J46" s="11" t="n">
        <f aca="false">(J74+J75+J76)*Assumptions!$B$66</f>
        <v>687.227745430857</v>
      </c>
      <c r="K46" s="11" t="n">
        <f aca="false">(K74+K75+K76)*Assumptions!$B$66</f>
        <v>786.02250101888</v>
      </c>
      <c r="L46" s="11" t="n">
        <f aca="false">(L74+L75+L76)*Assumptions!$B$66</f>
        <v>890.350320222304</v>
      </c>
      <c r="M46" s="11" t="n">
        <f aca="false">(M74+M75+M76)*Assumptions!$B$66</f>
        <v>999.429439112189</v>
      </c>
      <c r="N46" s="11" t="n">
        <f aca="false">(N74+N75+N76)*Assumptions!$B$66</f>
        <v>1211.48179296047</v>
      </c>
      <c r="O46" s="11" t="n">
        <f aca="false">(O74+O75+O76)*Assumptions!$B$66</f>
        <v>1425.95089686118</v>
      </c>
      <c r="P46" s="11" t="n">
        <f aca="false">(P74+P75+P76)*Assumptions!$B$66</f>
        <v>1643.53090157963</v>
      </c>
      <c r="Q46" s="11" t="n">
        <f aca="false">(Q74+Q75+Q76)*Assumptions!$B$66</f>
        <v>1863.76375447608</v>
      </c>
      <c r="R46" s="11" t="n">
        <f aca="false">(R74+R75+R76)*Assumptions!$B$66</f>
        <v>2086.25053054355</v>
      </c>
      <c r="S46" s="11" t="n">
        <f aca="false">(S74+S75+S76)*Assumptions!$B$66</f>
        <v>2310.67894178249</v>
      </c>
      <c r="T46" s="11" t="n">
        <f aca="false">(T74+T75+T76)*Assumptions!$B$66</f>
        <v>2536.73992306882</v>
      </c>
      <c r="U46" s="11" t="n">
        <f aca="false">(U74+U75+U76)*Assumptions!$B$66</f>
        <v>2764.22528731846</v>
      </c>
      <c r="V46" s="11" t="n">
        <f aca="false">(V74+V75+V76)*Assumptions!$B$66</f>
        <v>2992.96575842811</v>
      </c>
      <c r="W46" s="11" t="n">
        <f aca="false">(W74+W75+W76)*Assumptions!$B$66</f>
        <v>3222.8236868233</v>
      </c>
      <c r="X46" s="11" t="n">
        <f aca="false">(X74+X75+X76)*Assumptions!$B$66</f>
        <v>3453.63390509796</v>
      </c>
      <c r="Y46" s="11" t="n">
        <f aca="false">(Y74+Y75+Y76)*Assumptions!$B$66</f>
        <v>3685.30519207619</v>
      </c>
      <c r="Z46" s="11" t="n">
        <f aca="false">(Z74+Z75+Z76)*Assumptions!$B$66</f>
        <v>4023.73187930364</v>
      </c>
      <c r="AA46" s="11" t="n">
        <f aca="false">(AA74+AA75+AA76)*Assumptions!$B$66</f>
        <v>4361.48981096894</v>
      </c>
      <c r="AB46" s="11" t="n">
        <f aca="false">(AB74+AB75+AB76)*Assumptions!$B$66</f>
        <v>4699.85609900518</v>
      </c>
      <c r="AC46" s="11" t="n">
        <f aca="false">(AC74+AC75+AC76)*Assumptions!$B$66</f>
        <v>5038.82612797651</v>
      </c>
      <c r="AD46" s="11" t="n">
        <f aca="false">(AD74+AD75+AD76)*Assumptions!$B$66</f>
        <v>5378.38839739491</v>
      </c>
      <c r="AE46" s="11" t="n">
        <f aca="false">(AE74+AE75+AE76)*Assumptions!$B$66</f>
        <v>5718.53996299866</v>
      </c>
      <c r="AF46" s="11" t="n">
        <f aca="false">(AF74+AF75+AF76)*Assumptions!$B$66</f>
        <v>6059.25261573989</v>
      </c>
      <c r="AG46" s="11" t="n">
        <f aca="false">(AG74+AG75+AG76)*Assumptions!$B$66</f>
        <v>6400.52226575171</v>
      </c>
      <c r="AH46" s="11" t="n">
        <f aca="false">(AH74+AH75+AH76)*Assumptions!$B$66</f>
        <v>6742.34472509817</v>
      </c>
      <c r="AI46" s="11" t="n">
        <f aca="false">(AI74+AI75+AI76)*Assumptions!$B$66</f>
        <v>7084.71580416541</v>
      </c>
      <c r="AJ46" s="11" t="n">
        <f aca="false">(AJ74+AJ75+AJ76)*Assumptions!$B$66</f>
        <v>7427.60650107746</v>
      </c>
      <c r="AK46" s="11" t="n">
        <f aca="false">(AK74+AK75+AK76)*Assumptions!$B$66</f>
        <v>7771.01262616331</v>
      </c>
    </row>
    <row r="47" customFormat="false" ht="15" hidden="false" customHeight="false" outlineLevel="0" collapsed="false">
      <c r="A47" s="4" t="s">
        <v>181</v>
      </c>
      <c r="B47" s="11" t="n">
        <f aca="false">B15*(Assumptions!$B$39+IF(B4&gt;=Assumptions!$B$42,Assumptions!$B$40*Assumptions!$B$41,0))</f>
        <v>10</v>
      </c>
      <c r="C47" s="11" t="n">
        <f aca="false">C15*(Assumptions!$B$39+IF(C4&gt;=Assumptions!$B$42,Assumptions!$B$40*Assumptions!$B$41,0))</f>
        <v>15</v>
      </c>
      <c r="D47" s="11" t="n">
        <f aca="false">D15*(Assumptions!$B$39+IF(D4&gt;=Assumptions!$B$42,Assumptions!$B$40*Assumptions!$B$41,0))</f>
        <v>20</v>
      </c>
      <c r="E47" s="11" t="n">
        <f aca="false">E15*(Assumptions!$B$39+IF(E4&gt;=Assumptions!$B$42,Assumptions!$B$40*Assumptions!$B$41,0))</f>
        <v>25</v>
      </c>
      <c r="F47" s="11" t="n">
        <f aca="false">F15*(Assumptions!$B$39+IF(F4&gt;=Assumptions!$B$42,Assumptions!$B$40*Assumptions!$B$41,0))</f>
        <v>30</v>
      </c>
      <c r="G47" s="11" t="n">
        <f aca="false">G15*(Assumptions!$B$39+IF(G4&gt;=Assumptions!$B$42,Assumptions!$B$40*Assumptions!$B$41,0))</f>
        <v>35</v>
      </c>
      <c r="H47" s="11" t="n">
        <f aca="false">H15*(Assumptions!$B$39+IF(H4&gt;=Assumptions!$B$42,Assumptions!$B$40*Assumptions!$B$41,0))</f>
        <v>40</v>
      </c>
      <c r="I47" s="11" t="n">
        <f aca="false">I15*(Assumptions!$B$39+IF(I4&gt;=Assumptions!$B$42,Assumptions!$B$40*Assumptions!$B$41,0))</f>
        <v>40</v>
      </c>
      <c r="J47" s="11" t="n">
        <f aca="false">J15*(Assumptions!$B$39+IF(J4&gt;=Assumptions!$B$42,Assumptions!$B$40*Assumptions!$B$41,0))</f>
        <v>45</v>
      </c>
      <c r="K47" s="11" t="n">
        <f aca="false">K15*(Assumptions!$B$39+IF(K4&gt;=Assumptions!$B$42,Assumptions!$B$40*Assumptions!$B$41,0))</f>
        <v>50</v>
      </c>
      <c r="L47" s="11" t="n">
        <f aca="false">L15*(Assumptions!$B$39+IF(L4&gt;=Assumptions!$B$42,Assumptions!$B$40*Assumptions!$B$41,0))</f>
        <v>50</v>
      </c>
      <c r="M47" s="11" t="n">
        <f aca="false">M15*(Assumptions!$B$39+IF(M4&gt;=Assumptions!$B$42,Assumptions!$B$40*Assumptions!$B$41,0))</f>
        <v>50</v>
      </c>
      <c r="N47" s="11" t="n">
        <f aca="false">N15*(Assumptions!$B$39+IF(N4&gt;=Assumptions!$B$42,Assumptions!$B$40*Assumptions!$B$41,0))</f>
        <v>60</v>
      </c>
      <c r="O47" s="11" t="n">
        <f aca="false">O15*(Assumptions!$B$39+IF(O4&gt;=Assumptions!$B$42,Assumptions!$B$40*Assumptions!$B$41,0))</f>
        <v>70</v>
      </c>
      <c r="P47" s="11" t="n">
        <f aca="false">P15*(Assumptions!$B$39+IF(P4&gt;=Assumptions!$B$42,Assumptions!$B$40*Assumptions!$B$41,0))</f>
        <v>920</v>
      </c>
      <c r="Q47" s="11" t="n">
        <f aca="false">Q15*(Assumptions!$B$39+IF(Q4&gt;=Assumptions!$B$42,Assumptions!$B$40*Assumptions!$B$41,0))</f>
        <v>1035</v>
      </c>
      <c r="R47" s="11" t="n">
        <f aca="false">R15*(Assumptions!$B$39+IF(R4&gt;=Assumptions!$B$42,Assumptions!$B$40*Assumptions!$B$41,0))</f>
        <v>1150</v>
      </c>
      <c r="S47" s="11" t="n">
        <f aca="false">S15*(Assumptions!$B$39+IF(S4&gt;=Assumptions!$B$42,Assumptions!$B$40*Assumptions!$B$41,0))</f>
        <v>1150</v>
      </c>
      <c r="T47" s="11" t="n">
        <f aca="false">T15*(Assumptions!$B$39+IF(T4&gt;=Assumptions!$B$42,Assumptions!$B$40*Assumptions!$B$41,0))</f>
        <v>1265</v>
      </c>
      <c r="U47" s="11" t="n">
        <f aca="false">U15*(Assumptions!$B$39+IF(U4&gt;=Assumptions!$B$42,Assumptions!$B$40*Assumptions!$B$41,0))</f>
        <v>1265</v>
      </c>
      <c r="V47" s="11" t="n">
        <f aca="false">V15*(Assumptions!$B$39+IF(V4&gt;=Assumptions!$B$42,Assumptions!$B$40*Assumptions!$B$41,0))</f>
        <v>1380</v>
      </c>
      <c r="W47" s="11" t="n">
        <f aca="false">W15*(Assumptions!$B$39+IF(W4&gt;=Assumptions!$B$42,Assumptions!$B$40*Assumptions!$B$41,0))</f>
        <v>1380</v>
      </c>
      <c r="X47" s="11" t="n">
        <f aca="false">X15*(Assumptions!$B$39+IF(X4&gt;=Assumptions!$B$42,Assumptions!$B$40*Assumptions!$B$41,0))</f>
        <v>1437.5</v>
      </c>
      <c r="Y47" s="11" t="n">
        <f aca="false">Y15*(Assumptions!$B$39+IF(Y4&gt;=Assumptions!$B$42,Assumptions!$B$40*Assumptions!$B$41,0))</f>
        <v>1437.5</v>
      </c>
      <c r="Z47" s="11" t="n">
        <f aca="false">Z15*(Assumptions!$B$39+IF(Z4&gt;=Assumptions!$B$42,Assumptions!$B$40*Assumptions!$B$41,0))</f>
        <v>1437.5</v>
      </c>
      <c r="AA47" s="11" t="n">
        <f aca="false">AA15*(Assumptions!$B$39+IF(AA4&gt;=Assumptions!$B$42,Assumptions!$B$40*Assumptions!$B$41,0))</f>
        <v>1495</v>
      </c>
      <c r="AB47" s="11" t="n">
        <f aca="false">AB15*(Assumptions!$B$39+IF(AB4&gt;=Assumptions!$B$42,Assumptions!$B$40*Assumptions!$B$41,0))</f>
        <v>1495</v>
      </c>
      <c r="AC47" s="11" t="n">
        <f aca="false">AC15*(Assumptions!$B$39+IF(AC4&gt;=Assumptions!$B$42,Assumptions!$B$40*Assumptions!$B$41,0))</f>
        <v>1552.5</v>
      </c>
      <c r="AD47" s="11" t="n">
        <f aca="false">AD15*(Assumptions!$B$39+IF(AD4&gt;=Assumptions!$B$42,Assumptions!$B$40*Assumptions!$B$41,0))</f>
        <v>1552.5</v>
      </c>
      <c r="AE47" s="11" t="n">
        <f aca="false">AE15*(Assumptions!$B$39+IF(AE4&gt;=Assumptions!$B$42,Assumptions!$B$40*Assumptions!$B$41,0))</f>
        <v>1610</v>
      </c>
      <c r="AF47" s="11" t="n">
        <f aca="false">AF15*(Assumptions!$B$39+IF(AF4&gt;=Assumptions!$B$42,Assumptions!$B$40*Assumptions!$B$41,0))</f>
        <v>1610</v>
      </c>
      <c r="AG47" s="11" t="n">
        <f aca="false">AG15*(Assumptions!$B$39+IF(AG4&gt;=Assumptions!$B$42,Assumptions!$B$40*Assumptions!$B$41,0))</f>
        <v>1667.5</v>
      </c>
      <c r="AH47" s="11" t="n">
        <f aca="false">AH15*(Assumptions!$B$39+IF(AH4&gt;=Assumptions!$B$42,Assumptions!$B$40*Assumptions!$B$41,0))</f>
        <v>1667.5</v>
      </c>
      <c r="AI47" s="11" t="n">
        <f aca="false">AI15*(Assumptions!$B$39+IF(AI4&gt;=Assumptions!$B$42,Assumptions!$B$40*Assumptions!$B$41,0))</f>
        <v>1725</v>
      </c>
      <c r="AJ47" s="11" t="n">
        <f aca="false">AJ15*(Assumptions!$B$39+IF(AJ4&gt;=Assumptions!$B$42,Assumptions!$B$40*Assumptions!$B$41,0))</f>
        <v>1725</v>
      </c>
      <c r="AK47" s="11" t="n">
        <f aca="false">AK15*(Assumptions!$B$39+IF(AK4&gt;=Assumptions!$B$42,Assumptions!$B$40*Assumptions!$B$41,0))</f>
        <v>1725</v>
      </c>
    </row>
    <row r="48" customFormat="false" ht="15" hidden="false" customHeight="false" outlineLevel="0" collapsed="false">
      <c r="A48" s="4" t="s">
        <v>182</v>
      </c>
      <c r="B48" s="11" t="n">
        <f aca="false">B43*Assumptions!$B$44+(B27+B29+B23+B30+B15)*Assumptions!$B$45</f>
        <v>18.941639</v>
      </c>
      <c r="C48" s="11" t="n">
        <f aca="false">C43*Assumptions!$B$44+(C27+C29+C23+C30+C15)*Assumptions!$B$45</f>
        <v>28.83357282</v>
      </c>
      <c r="D48" s="11" t="n">
        <f aca="false">D43*Assumptions!$B$44+(D27+D29+D23+D30+D15)*Assumptions!$B$45</f>
        <v>43.1074578816</v>
      </c>
      <c r="E48" s="11" t="n">
        <f aca="false">E43*Assumptions!$B$44+(E27+E29+E23+E30+E15)*Assumptions!$B$45</f>
        <v>59.545250335808</v>
      </c>
      <c r="F48" s="11" t="n">
        <f aca="false">F43*Assumptions!$B$44+(F27+F29+F23+F30+F15)*Assumptions!$B$45</f>
        <v>78.474575295511</v>
      </c>
      <c r="G48" s="11" t="n">
        <f aca="false">G43*Assumptions!$B$44+(G27+G29+G23+G30+G15)*Assumptions!$B$45</f>
        <v>103.6595039684</v>
      </c>
      <c r="H48" s="11" t="n">
        <f aca="false">H43*Assumptions!$B$44+(H27+H29+H23+H30+H15)*Assumptions!$B$45</f>
        <v>129.206341651842</v>
      </c>
      <c r="I48" s="11" t="n">
        <f aca="false">I43*Assumptions!$B$44+(I27+I29+I23+I30+I15)*Assumptions!$B$45</f>
        <v>147.222170359888</v>
      </c>
      <c r="J48" s="11" t="n">
        <f aca="false">J43*Assumptions!$B$44+(J27+J29+J23+J30+J15)*Assumptions!$B$45</f>
        <v>174.445000479256</v>
      </c>
      <c r="K48" s="11" t="n">
        <f aca="false">K43*Assumptions!$B$44+(K27+K29+K23+K30+K15)*Assumptions!$B$45</f>
        <v>203.242549366772</v>
      </c>
      <c r="L48" s="11" t="n">
        <f aca="false">L43*Assumptions!$B$44+(L27+L29+L23+L30+L15)*Assumptions!$B$45</f>
        <v>226.654676202134</v>
      </c>
      <c r="M48" s="11" t="n">
        <f aca="false">M43*Assumptions!$B$44+(M27+M29+M23+M30+M15)*Assumptions!$B$45</f>
        <v>251.745937928884</v>
      </c>
      <c r="N48" s="11" t="n">
        <f aca="false">N43*Assumptions!$B$44+(N27+N29+N23+N30+N15)*Assumptions!$B$45</f>
        <v>331.186988869101</v>
      </c>
      <c r="O48" s="11" t="n">
        <f aca="false">O43*Assumptions!$B$44+(O27+O29+O23+O30+O15)*Assumptions!$B$45</f>
        <v>379.176182235788</v>
      </c>
      <c r="P48" s="11" t="n">
        <f aca="false">P43*Assumptions!$B$44+(P27+P29+P23+P30+P15)*Assumptions!$B$45</f>
        <v>428.682987621322</v>
      </c>
      <c r="Q48" s="11" t="n">
        <f aca="false">Q43*Assumptions!$B$44+(Q27+Q29+Q23+Q30+Q15)*Assumptions!$B$45</f>
        <v>479.546446424902</v>
      </c>
      <c r="R48" s="11" t="n">
        <f aca="false">R43*Assumptions!$B$44+(R27+R29+R23+R30+R15)*Assumptions!$B$45</f>
        <v>531.751788447385</v>
      </c>
      <c r="S48" s="11" t="n">
        <f aca="false">S43*Assumptions!$B$44+(S27+S29+S23+S30+S15)*Assumptions!$B$45</f>
        <v>570.040782468336</v>
      </c>
      <c r="T48" s="11" t="n">
        <f aca="false">T43*Assumptions!$B$44+(T27+T29+T23+T30+T15)*Assumptions!$B$45</f>
        <v>624.772501232681</v>
      </c>
      <c r="U48" s="11" t="n">
        <f aca="false">U43*Assumptions!$B$44+(U27+U29+U23+U30+U15)*Assumptions!$B$45</f>
        <v>665.449024389918</v>
      </c>
      <c r="V48" s="11" t="n">
        <f aca="false">V43*Assumptions!$B$44+(V27+V29+V23+V30+V15)*Assumptions!$B$45</f>
        <v>722.093864408468</v>
      </c>
      <c r="W48" s="11" t="n">
        <f aca="false">W43*Assumptions!$B$44+(W27+W29+W23+W30+W15)*Assumptions!$B$45</f>
        <v>764.567018428565</v>
      </c>
      <c r="X48" s="11" t="n">
        <f aca="false">X43*Assumptions!$B$44+(X27+X29+X23+X30+X15)*Assumptions!$B$45</f>
        <v>815.725487393235</v>
      </c>
      <c r="Y48" s="11" t="n">
        <f aca="false">Y43*Assumptions!$B$44+(Y27+Y29+Y23+Y30+Y15)*Assumptions!$B$45</f>
        <v>860.13057788098</v>
      </c>
      <c r="Z48" s="11" t="n">
        <f aca="false">Z43*Assumptions!$B$44+(Z27+Z29+Z23+Z30+Z15)*Assumptions!$B$45</f>
        <v>993.504945008596</v>
      </c>
      <c r="AA48" s="11" t="n">
        <f aca="false">AA43*Assumptions!$B$44+(AA27+AA29+AA23+AA30+AA15)*Assumptions!$B$45</f>
        <v>1058.8879660428</v>
      </c>
      <c r="AB48" s="11" t="n">
        <f aca="false">AB43*Assumptions!$B$44+(AB27+AB29+AB23+AB30+AB15)*Assumptions!$B$45</f>
        <v>1117.68374985738</v>
      </c>
      <c r="AC48" s="11" t="n">
        <f aca="false">AC43*Assumptions!$B$44+(AC27+AC29+AC23+AC30+AC15)*Assumptions!$B$45</f>
        <v>1184.87651383106</v>
      </c>
      <c r="AD48" s="11" t="n">
        <f aca="false">AD43*Assumptions!$B$44+(AD27+AD29+AD23+AD30+AD15)*Assumptions!$B$45</f>
        <v>1245.42976977054</v>
      </c>
      <c r="AE48" s="11" t="n">
        <f aca="false">AE43*Assumptions!$B$44+(AE27+AE29+AE23+AE30+AE15)*Assumptions!$B$45</f>
        <v>1314.2983908689</v>
      </c>
      <c r="AF48" s="11" t="n">
        <f aca="false">AF43*Assumptions!$B$44+(AF27+AF29+AF23+AF30+AF15)*Assumptions!$B$45</f>
        <v>1376.57205878069</v>
      </c>
      <c r="AG48" s="11" t="n">
        <f aca="false">AG43*Assumptions!$B$44+(AG27+AG29+AG23+AG30+AG15)*Assumptions!$B$45</f>
        <v>1447.11312296978</v>
      </c>
      <c r="AH48" s="11" t="n">
        <f aca="false">AH43*Assumptions!$B$44+(AH27+AH29+AH23+AH30+AH15)*Assumptions!$B$45</f>
        <v>1510.85749822537</v>
      </c>
      <c r="AI48" s="11" t="n">
        <f aca="false">AI43*Assumptions!$B$44+(AI27+AI29+AI23+AI30+AI15)*Assumptions!$B$45</f>
        <v>1582.82580982482</v>
      </c>
      <c r="AJ48" s="11" t="n">
        <f aca="false">AJ43*Assumptions!$B$44+(AJ27+AJ29+AJ23+AJ30+AJ15)*Assumptions!$B$45</f>
        <v>1648.11064225216</v>
      </c>
      <c r="AK48" s="11" t="n">
        <f aca="false">AK43*Assumptions!$B$44+(AK27+AK29+AK23+AK30+AK15)*Assumptions!$B$45</f>
        <v>1714.05613593886</v>
      </c>
    </row>
    <row r="49" customFormat="false" ht="15" hidden="false" customHeight="false" outlineLevel="0" collapsed="false">
      <c r="A49" s="9" t="s">
        <v>108</v>
      </c>
      <c r="B49" s="18" t="n">
        <f aca="false">SUM(B46:B48)</f>
        <v>86.1043033888313</v>
      </c>
      <c r="C49" s="18" t="n">
        <f aca="false">SUM(C46:C48)</f>
        <v>161.390775437768</v>
      </c>
      <c r="D49" s="18" t="n">
        <f aca="false">SUM(D46:D48)</f>
        <v>247.303270928144</v>
      </c>
      <c r="E49" s="18" t="n">
        <f aca="false">SUM(E46:E48)</f>
        <v>340.074725699989</v>
      </c>
      <c r="F49" s="18" t="n">
        <f aca="false">SUM(F46:F48)</f>
        <v>440.569593019864</v>
      </c>
      <c r="G49" s="18" t="n">
        <f aca="false">SUM(G46:G48)</f>
        <v>551.13021384335</v>
      </c>
      <c r="H49" s="18" t="n">
        <f aca="false">SUM(H46:H48)</f>
        <v>668.929737951127</v>
      </c>
      <c r="I49" s="18" t="n">
        <f aca="false">SUM(I46:I48)</f>
        <v>778.748751308542</v>
      </c>
      <c r="J49" s="18" t="n">
        <f aca="false">SUM(J46:J48)</f>
        <v>906.672745910113</v>
      </c>
      <c r="K49" s="18" t="n">
        <f aca="false">SUM(K46:K48)</f>
        <v>1039.26505038565</v>
      </c>
      <c r="L49" s="18" t="n">
        <f aca="false">SUM(L46:L48)</f>
        <v>1167.00499642444</v>
      </c>
      <c r="M49" s="18" t="n">
        <f aca="false">SUM(M46:M48)</f>
        <v>1301.17537704107</v>
      </c>
      <c r="N49" s="18" t="n">
        <f aca="false">SUM(N46:N48)</f>
        <v>1602.66878182957</v>
      </c>
      <c r="O49" s="18" t="n">
        <f aca="false">SUM(O46:O48)</f>
        <v>1875.12707909697</v>
      </c>
      <c r="P49" s="18" t="n">
        <f aca="false">SUM(P46:P48)</f>
        <v>2992.21388920095</v>
      </c>
      <c r="Q49" s="18" t="n">
        <f aca="false">SUM(Q46:Q48)</f>
        <v>3378.31020090098</v>
      </c>
      <c r="R49" s="18" t="n">
        <f aca="false">SUM(R46:R48)</f>
        <v>3768.00231899094</v>
      </c>
      <c r="S49" s="18" t="n">
        <f aca="false">SUM(S46:S48)</f>
        <v>4030.71972425082</v>
      </c>
      <c r="T49" s="18" t="n">
        <f aca="false">SUM(T46:T48)</f>
        <v>4426.5124243015</v>
      </c>
      <c r="U49" s="18" t="n">
        <f aca="false">SUM(U46:U48)</f>
        <v>4694.67431170838</v>
      </c>
      <c r="V49" s="18" t="n">
        <f aca="false">SUM(V46:V48)</f>
        <v>5095.05962283658</v>
      </c>
      <c r="W49" s="18" t="n">
        <f aca="false">SUM(W46:W48)</f>
        <v>5367.39070525187</v>
      </c>
      <c r="X49" s="18" t="n">
        <f aca="false">SUM(X46:X48)</f>
        <v>5706.8593924912</v>
      </c>
      <c r="Y49" s="18" t="n">
        <f aca="false">SUM(Y46:Y48)</f>
        <v>5982.93576995717</v>
      </c>
      <c r="Z49" s="18" t="n">
        <f aca="false">SUM(Z46:Z48)</f>
        <v>6454.73682431224</v>
      </c>
      <c r="AA49" s="18" t="n">
        <f aca="false">SUM(AA46:AA48)</f>
        <v>6915.37777701174</v>
      </c>
      <c r="AB49" s="18" t="n">
        <f aca="false">SUM(AB46:AB48)</f>
        <v>7312.53984886256</v>
      </c>
      <c r="AC49" s="18" t="n">
        <f aca="false">SUM(AC46:AC48)</f>
        <v>7776.20264180757</v>
      </c>
      <c r="AD49" s="18" t="n">
        <f aca="false">SUM(AD46:AD48)</f>
        <v>8176.31816716545</v>
      </c>
      <c r="AE49" s="18" t="n">
        <f aca="false">SUM(AE46:AE48)</f>
        <v>8642.83835386756</v>
      </c>
      <c r="AF49" s="18" t="n">
        <f aca="false">SUM(AF46:AF48)</f>
        <v>9045.82467452058</v>
      </c>
      <c r="AG49" s="18" t="n">
        <f aca="false">SUM(AG46:AG48)</f>
        <v>9515.13538872149</v>
      </c>
      <c r="AH49" s="18" t="n">
        <f aca="false">SUM(AH46:AH48)</f>
        <v>9920.70222332355</v>
      </c>
      <c r="AI49" s="18" t="n">
        <f aca="false">SUM(AI46:AI48)</f>
        <v>10392.5416139902</v>
      </c>
      <c r="AJ49" s="18" t="n">
        <f aca="false">SUM(AJ46:AJ48)</f>
        <v>10800.7171433296</v>
      </c>
      <c r="AK49" s="18" t="n">
        <f aca="false">SUM(AK46:AK48)</f>
        <v>11210.0687621022</v>
      </c>
    </row>
    <row r="50" customFormat="false" ht="15" hidden="false" customHeight="false" outlineLevel="0" collapsed="false">
      <c r="A50" s="38" t="s">
        <v>71</v>
      </c>
      <c r="B50" s="23" t="n">
        <f aca="false">B42-B49</f>
        <v>464.561696611169</v>
      </c>
      <c r="C50" s="23" t="n">
        <f aca="false">C42-C49</f>
        <v>674.611304562232</v>
      </c>
      <c r="D50" s="23" t="n">
        <f aca="false">D42-D49</f>
        <v>986.810259471856</v>
      </c>
      <c r="E50" s="23" t="n">
        <f aca="false">E42-E49</f>
        <v>1347.47108105201</v>
      </c>
      <c r="F50" s="23" t="n">
        <f aca="false">F42-F49</f>
        <v>1759.3854169219</v>
      </c>
      <c r="G50" s="23" t="n">
        <f aca="false">G42-G49</f>
        <v>2366.4666434692</v>
      </c>
      <c r="H50" s="23" t="n">
        <f aca="false">H42-H49</f>
        <v>2928.51876233392</v>
      </c>
      <c r="I50" s="23" t="n">
        <f aca="false">I42-I49</f>
        <v>3248.9307088998</v>
      </c>
      <c r="J50" s="23" t="n">
        <f aca="false">J42-J49</f>
        <v>3848.64315043285</v>
      </c>
      <c r="K50" s="23" t="n">
        <f aca="false">K42-K49</f>
        <v>4489.5443275878</v>
      </c>
      <c r="L50" s="23" t="n">
        <f aca="false">L42-L49</f>
        <v>4922.09881132426</v>
      </c>
      <c r="M50" s="23" t="n">
        <f aca="false">M42-M49</f>
        <v>5397.11300855324</v>
      </c>
      <c r="N50" s="23" t="n">
        <f aca="false">N42-N49</f>
        <v>7005.16736946898</v>
      </c>
      <c r="O50" s="23" t="n">
        <f aca="false">O42-O49</f>
        <v>8052.07984143561</v>
      </c>
      <c r="P50" s="23" t="n">
        <f aca="false">P42-P49</f>
        <v>8299.09335523808</v>
      </c>
      <c r="Q50" s="23" t="n">
        <f aca="false">Q42-Q49</f>
        <v>9319.53821760721</v>
      </c>
      <c r="R50" s="23" t="n">
        <f aca="false">R42-R49</f>
        <v>10376.465530338</v>
      </c>
      <c r="S50" s="23" t="n">
        <f aca="false">S42-S49</f>
        <v>11100.6567483583</v>
      </c>
      <c r="T50" s="23" t="n">
        <f aca="false">T42-T49</f>
        <v>12225.2955314442</v>
      </c>
      <c r="U50" s="23" t="n">
        <f aca="false">U42-U49</f>
        <v>13013.5337528651</v>
      </c>
      <c r="V50" s="23" t="n">
        <f aca="false">V42-V49</f>
        <v>14200.0662116894</v>
      </c>
      <c r="W50" s="23" t="n">
        <f aca="false">W42-W49</f>
        <v>15047.8146349572</v>
      </c>
      <c r="X50" s="23" t="n">
        <f aca="false">X42-X49</f>
        <v>16106.2191270378</v>
      </c>
      <c r="Y50" s="23" t="n">
        <f aca="false">Y42-Y49</f>
        <v>17006.622099276</v>
      </c>
      <c r="Z50" s="23" t="n">
        <f aca="false">Z42-Z49</f>
        <v>19341.4733159216</v>
      </c>
      <c r="AA50" s="23" t="n">
        <f aca="false">AA42-AA49</f>
        <v>20680.0165108046</v>
      </c>
      <c r="AB50" s="23" t="n">
        <f aca="false">AB42-AB49</f>
        <v>21865.5583608025</v>
      </c>
      <c r="AC50" s="23" t="n">
        <f aca="false">AC42-AC49</f>
        <v>23265.2861494934</v>
      </c>
      <c r="AD50" s="23" t="n">
        <f aca="false">AD42-AD49</f>
        <v>24510.3364567403</v>
      </c>
      <c r="AE50" s="23" t="n">
        <f aca="false">AE42-AE49</f>
        <v>25968.0717253966</v>
      </c>
      <c r="AF50" s="23" t="n">
        <f aca="false">AF42-AF49</f>
        <v>27269.2582740823</v>
      </c>
      <c r="AG50" s="23" t="n">
        <f aca="false">AG42-AG49</f>
        <v>28781.3947555266</v>
      </c>
      <c r="AH50" s="23" t="n">
        <f aca="false">AH42-AH49</f>
        <v>30135.9264933576</v>
      </c>
      <c r="AI50" s="23" t="n">
        <f aca="false">AI42-AI49</f>
        <v>31700.2335349408</v>
      </c>
      <c r="AJ50" s="23" t="n">
        <f aca="false">AJ42-AJ49</f>
        <v>33105.1592997308</v>
      </c>
      <c r="AK50" s="23" t="n">
        <f aca="false">AK42-AK49</f>
        <v>34534.2971991823</v>
      </c>
    </row>
    <row r="51" customFormat="false" ht="15" hidden="false" customHeight="false" outlineLevel="0" collapsed="false">
      <c r="A51" s="4" t="s">
        <v>72</v>
      </c>
      <c r="B51" s="16" t="n">
        <f aca="false">IF(B42=0,0,B50/B42)</f>
        <v>0.843636063623265</v>
      </c>
      <c r="C51" s="16" t="n">
        <f aca="false">IF(C42=0,0,C50/C42)</f>
        <v>0.806949313525909</v>
      </c>
      <c r="D51" s="16" t="n">
        <f aca="false">IF(D42=0,0,D50/D42)</f>
        <v>0.799610599157771</v>
      </c>
      <c r="E51" s="16" t="n">
        <f aca="false">IF(E42=0,0,E50/E42)</f>
        <v>0.798479706838579</v>
      </c>
      <c r="F51" s="16" t="n">
        <f aca="false">IF(F42=0,0,F50/F42)</f>
        <v>0.799736998698202</v>
      </c>
      <c r="G51" s="16" t="n">
        <f aca="false">IF(G42=0,0,G50/G42)</f>
        <v>0.811101313582094</v>
      </c>
      <c r="H51" s="16" t="n">
        <f aca="false">IF(H42=0,0,H50/H42)</f>
        <v>0.814054394969623</v>
      </c>
      <c r="I51" s="16" t="n">
        <f aca="false">IF(I42=0,0,I50/I42)</f>
        <v>0.806650762802197</v>
      </c>
      <c r="J51" s="16" t="n">
        <f aca="false">IF(J42=0,0,J50/J42)</f>
        <v>0.809334907359702</v>
      </c>
      <c r="K51" s="16" t="n">
        <f aca="false">IF(K42=0,0,K50/K42)</f>
        <v>0.812027331865331</v>
      </c>
      <c r="L51" s="16" t="n">
        <f aca="false">IF(L42=0,0,L50/L42)</f>
        <v>0.808345360291056</v>
      </c>
      <c r="M51" s="16" t="n">
        <f aca="false">IF(M42=0,0,M50/M42)</f>
        <v>0.805745094546922</v>
      </c>
      <c r="N51" s="16" t="n">
        <f aca="false">IF(N42=0,0,N50/N42)</f>
        <v>0.813812815014166</v>
      </c>
      <c r="O51" s="16" t="n">
        <f aca="false">IF(O42=0,0,O50/O42)</f>
        <v>0.811112320503906</v>
      </c>
      <c r="P51" s="16" t="n">
        <f aca="false">IF(P42=0,0,P50/P42)</f>
        <v>0.734998452843039</v>
      </c>
      <c r="Q51" s="16" t="n">
        <f aca="false">IF(Q42=0,0,Q50/Q42)</f>
        <v>0.733946249037214</v>
      </c>
      <c r="R51" s="16" t="n">
        <f aca="false">IF(R42=0,0,R50/R42)</f>
        <v>0.733605932783841</v>
      </c>
      <c r="S51" s="16" t="n">
        <f aca="false">IF(S42=0,0,S50/S42)</f>
        <v>0.733618436396237</v>
      </c>
      <c r="T51" s="16" t="n">
        <f aca="false">IF(T42=0,0,T50/T42)</f>
        <v>0.734172263092061</v>
      </c>
      <c r="U51" s="16" t="n">
        <f aca="false">IF(U42=0,0,U50/U42)</f>
        <v>0.734887104635933</v>
      </c>
      <c r="V51" s="16" t="n">
        <f aca="false">IF(V42=0,0,V50/V42)</f>
        <v>0.735940585900732</v>
      </c>
      <c r="W51" s="16" t="n">
        <f aca="false">IF(W42=0,0,W50/W42)</f>
        <v>0.737088576097717</v>
      </c>
      <c r="X51" s="16" t="n">
        <f aca="false">IF(X42=0,0,X50/X42)</f>
        <v>0.738374416642662</v>
      </c>
      <c r="Y51" s="16" t="n">
        <f aca="false">IF(Y42=0,0,Y50/Y42)</f>
        <v>0.739754204757278</v>
      </c>
      <c r="Z51" s="16" t="n">
        <f aca="false">IF(Z42=0,0,Z50/Z42)</f>
        <v>0.74977964634251</v>
      </c>
      <c r="AA51" s="16" t="n">
        <f aca="false">IF(AA42=0,0,AA50/AA42)</f>
        <v>0.749401015804113</v>
      </c>
      <c r="AB51" s="16" t="n">
        <f aca="false">IF(AB42=0,0,AB50/AB42)</f>
        <v>0.749382574686094</v>
      </c>
      <c r="AC51" s="16" t="n">
        <f aca="false">IF(AC42=0,0,AC50/AC42)</f>
        <v>0.749490023043393</v>
      </c>
      <c r="AD51" s="16" t="n">
        <f aca="false">IF(AD42=0,0,AD50/AD42)</f>
        <v>0.749857602093497</v>
      </c>
      <c r="AE51" s="16" t="n">
        <f aca="false">IF(AE42=0,0,AE50/AE42)</f>
        <v>0.750285723950218</v>
      </c>
      <c r="AF51" s="16" t="n">
        <f aca="false">IF(AF42=0,0,AF50/AF42)</f>
        <v>0.750907228070408</v>
      </c>
      <c r="AG51" s="16" t="n">
        <f aca="false">IF(AG42=0,0,AG50/AG42)</f>
        <v>0.751540535059399</v>
      </c>
      <c r="AH51" s="16" t="n">
        <f aca="false">IF(AH42=0,0,AH50/AH42)</f>
        <v>0.752333070925857</v>
      </c>
      <c r="AI51" s="16" t="n">
        <f aca="false">IF(AI42=0,0,AI50/AI42)</f>
        <v>0.75310390970375</v>
      </c>
      <c r="AJ51" s="16" t="n">
        <f aca="false">IF(AJ42=0,0,AJ50/AJ42)</f>
        <v>0.754002925842135</v>
      </c>
      <c r="AK51" s="16" t="n">
        <f aca="false">IF(AK42=0,0,AK50/AK42)</f>
        <v>0.754940995977739</v>
      </c>
    </row>
    <row r="53" customFormat="false" ht="15" hidden="false" customHeight="false" outlineLevel="0" collapsed="false">
      <c r="A53" s="34" t="s">
        <v>183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 customFormat="false" ht="15" hidden="false" customHeight="false" outlineLevel="0" collapsed="false">
      <c r="A54" s="4" t="s">
        <v>73</v>
      </c>
      <c r="B54" s="14" t="n">
        <v>0</v>
      </c>
      <c r="C54" s="14" t="n">
        <v>0</v>
      </c>
      <c r="D54" s="14" t="n">
        <v>0</v>
      </c>
      <c r="E54" s="14" t="n">
        <v>400</v>
      </c>
      <c r="F54" s="14" t="n">
        <v>500</v>
      </c>
      <c r="G54" s="14" t="n">
        <v>600</v>
      </c>
      <c r="H54" s="14" t="n">
        <v>700</v>
      </c>
      <c r="I54" s="14" t="n">
        <v>800</v>
      </c>
      <c r="J54" s="14" t="n">
        <v>900</v>
      </c>
      <c r="K54" s="14" t="n">
        <v>1000</v>
      </c>
      <c r="L54" s="14" t="n">
        <v>1100</v>
      </c>
      <c r="M54" s="14" t="n">
        <v>1200</v>
      </c>
      <c r="N54" s="14" t="n">
        <v>2000</v>
      </c>
      <c r="O54" s="14" t="n">
        <v>2000</v>
      </c>
      <c r="P54" s="14" t="n">
        <v>2000</v>
      </c>
      <c r="Q54" s="14" t="n">
        <v>2000</v>
      </c>
      <c r="R54" s="14" t="n">
        <v>2000</v>
      </c>
      <c r="S54" s="14" t="n">
        <v>2000</v>
      </c>
      <c r="T54" s="14" t="n">
        <v>2000</v>
      </c>
      <c r="U54" s="14" t="n">
        <v>2000</v>
      </c>
      <c r="V54" s="14" t="n">
        <v>2000</v>
      </c>
      <c r="W54" s="14" t="n">
        <v>2000</v>
      </c>
      <c r="X54" s="14" t="n">
        <v>2000</v>
      </c>
      <c r="Y54" s="14" t="n">
        <v>2000</v>
      </c>
      <c r="Z54" s="14" t="n">
        <v>4000</v>
      </c>
      <c r="AA54" s="14" t="n">
        <v>4000</v>
      </c>
      <c r="AB54" s="14" t="n">
        <v>4000</v>
      </c>
      <c r="AC54" s="14" t="n">
        <v>4000</v>
      </c>
      <c r="AD54" s="14" t="n">
        <v>4000</v>
      </c>
      <c r="AE54" s="14" t="n">
        <v>4000</v>
      </c>
      <c r="AF54" s="14" t="n">
        <v>4000</v>
      </c>
      <c r="AG54" s="14" t="n">
        <v>4000</v>
      </c>
      <c r="AH54" s="14" t="n">
        <v>4000</v>
      </c>
      <c r="AI54" s="14" t="n">
        <v>4000</v>
      </c>
      <c r="AJ54" s="14" t="n">
        <v>4000</v>
      </c>
      <c r="AK54" s="14" t="n">
        <v>4000</v>
      </c>
    </row>
    <row r="55" customFormat="false" ht="15" hidden="false" customHeight="false" outlineLevel="0" collapsed="false">
      <c r="A55" s="4" t="s">
        <v>74</v>
      </c>
      <c r="B55" s="14" t="n">
        <v>0</v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1500</v>
      </c>
      <c r="Q55" s="14" t="n">
        <v>1500</v>
      </c>
      <c r="R55" s="14" t="n">
        <v>1500</v>
      </c>
      <c r="S55" s="14" t="n">
        <v>1500</v>
      </c>
      <c r="T55" s="14" t="n">
        <v>1500</v>
      </c>
      <c r="U55" s="14" t="n">
        <v>1500</v>
      </c>
      <c r="V55" s="14" t="n">
        <v>1500</v>
      </c>
      <c r="W55" s="14" t="n">
        <v>1500</v>
      </c>
      <c r="X55" s="14" t="n">
        <v>1500</v>
      </c>
      <c r="Y55" s="14" t="n">
        <v>1500</v>
      </c>
      <c r="Z55" s="14" t="n">
        <v>3000</v>
      </c>
      <c r="AA55" s="14" t="n">
        <v>3000</v>
      </c>
      <c r="AB55" s="14" t="n">
        <v>3000</v>
      </c>
      <c r="AC55" s="14" t="n">
        <v>3000</v>
      </c>
      <c r="AD55" s="14" t="n">
        <v>3000</v>
      </c>
      <c r="AE55" s="14" t="n">
        <v>3000</v>
      </c>
      <c r="AF55" s="14" t="n">
        <v>3000</v>
      </c>
      <c r="AG55" s="14" t="n">
        <v>3000</v>
      </c>
      <c r="AH55" s="14" t="n">
        <v>3000</v>
      </c>
      <c r="AI55" s="14" t="n">
        <v>3000</v>
      </c>
      <c r="AJ55" s="14" t="n">
        <v>3000</v>
      </c>
      <c r="AK55" s="14" t="n">
        <v>3000</v>
      </c>
    </row>
    <row r="56" customFormat="false" ht="15" hidden="false" customHeight="false" outlineLevel="0" collapsed="false">
      <c r="A56" s="4" t="s">
        <v>184</v>
      </c>
      <c r="B56" s="14" t="n">
        <v>25</v>
      </c>
      <c r="C56" s="14" t="n">
        <v>25</v>
      </c>
      <c r="D56" s="14" t="n">
        <v>25</v>
      </c>
      <c r="E56" s="14" t="n">
        <v>25</v>
      </c>
      <c r="F56" s="14" t="n">
        <v>25</v>
      </c>
      <c r="G56" s="14" t="n">
        <v>25</v>
      </c>
      <c r="H56" s="14" t="n">
        <v>25</v>
      </c>
      <c r="I56" s="14" t="n">
        <v>25</v>
      </c>
      <c r="J56" s="14" t="n">
        <v>25</v>
      </c>
      <c r="K56" s="14" t="n">
        <v>25</v>
      </c>
      <c r="L56" s="14" t="n">
        <v>25</v>
      </c>
      <c r="M56" s="14" t="n">
        <v>25</v>
      </c>
      <c r="N56" s="14" t="n">
        <v>150</v>
      </c>
      <c r="O56" s="14" t="n">
        <v>150</v>
      </c>
      <c r="P56" s="14" t="n">
        <v>150</v>
      </c>
      <c r="Q56" s="14" t="n">
        <v>150</v>
      </c>
      <c r="R56" s="14" t="n">
        <v>150</v>
      </c>
      <c r="S56" s="14" t="n">
        <v>150</v>
      </c>
      <c r="T56" s="14" t="n">
        <v>150</v>
      </c>
      <c r="U56" s="14" t="n">
        <v>150</v>
      </c>
      <c r="V56" s="14" t="n">
        <v>150</v>
      </c>
      <c r="W56" s="14" t="n">
        <v>150</v>
      </c>
      <c r="X56" s="14" t="n">
        <v>150</v>
      </c>
      <c r="Y56" s="14" t="n">
        <v>150</v>
      </c>
      <c r="Z56" s="14" t="n">
        <v>400</v>
      </c>
      <c r="AA56" s="14" t="n">
        <v>400</v>
      </c>
      <c r="AB56" s="14" t="n">
        <v>400</v>
      </c>
      <c r="AC56" s="14" t="n">
        <v>400</v>
      </c>
      <c r="AD56" s="14" t="n">
        <v>400</v>
      </c>
      <c r="AE56" s="14" t="n">
        <v>400</v>
      </c>
      <c r="AF56" s="14" t="n">
        <v>400</v>
      </c>
      <c r="AG56" s="14" t="n">
        <v>400</v>
      </c>
      <c r="AH56" s="14" t="n">
        <v>400</v>
      </c>
      <c r="AI56" s="14" t="n">
        <v>400</v>
      </c>
      <c r="AJ56" s="14" t="n">
        <v>400</v>
      </c>
      <c r="AK56" s="14" t="n">
        <v>400</v>
      </c>
    </row>
    <row r="57" customFormat="false" ht="15" hidden="false" customHeight="false" outlineLevel="0" collapsed="false">
      <c r="A57" s="4" t="s">
        <v>185</v>
      </c>
      <c r="B57" s="14" t="n">
        <v>150</v>
      </c>
      <c r="C57" s="14" t="n">
        <v>150</v>
      </c>
      <c r="D57" s="14" t="n">
        <v>150</v>
      </c>
      <c r="E57" s="14" t="n">
        <v>150</v>
      </c>
      <c r="F57" s="14" t="n">
        <v>150</v>
      </c>
      <c r="G57" s="14" t="n">
        <v>150</v>
      </c>
      <c r="H57" s="14" t="n">
        <v>150</v>
      </c>
      <c r="I57" s="14" t="n">
        <v>150</v>
      </c>
      <c r="J57" s="14" t="n">
        <v>150</v>
      </c>
      <c r="K57" s="14" t="n">
        <v>150</v>
      </c>
      <c r="L57" s="14" t="n">
        <v>150</v>
      </c>
      <c r="M57" s="14" t="n">
        <v>150</v>
      </c>
      <c r="N57" s="14" t="n">
        <v>400</v>
      </c>
      <c r="O57" s="14" t="n">
        <v>400</v>
      </c>
      <c r="P57" s="14" t="n">
        <v>400</v>
      </c>
      <c r="Q57" s="14" t="n">
        <v>400</v>
      </c>
      <c r="R57" s="14" t="n">
        <v>400</v>
      </c>
      <c r="S57" s="14" t="n">
        <v>400</v>
      </c>
      <c r="T57" s="14" t="n">
        <v>400</v>
      </c>
      <c r="U57" s="14" t="n">
        <v>400</v>
      </c>
      <c r="V57" s="14" t="n">
        <v>400</v>
      </c>
      <c r="W57" s="14" t="n">
        <v>400</v>
      </c>
      <c r="X57" s="14" t="n">
        <v>400</v>
      </c>
      <c r="Y57" s="14" t="n">
        <v>400</v>
      </c>
      <c r="Z57" s="14" t="n">
        <v>600</v>
      </c>
      <c r="AA57" s="14" t="n">
        <v>600</v>
      </c>
      <c r="AB57" s="14" t="n">
        <v>600</v>
      </c>
      <c r="AC57" s="14" t="n">
        <v>600</v>
      </c>
      <c r="AD57" s="14" t="n">
        <v>600</v>
      </c>
      <c r="AE57" s="14" t="n">
        <v>600</v>
      </c>
      <c r="AF57" s="14" t="n">
        <v>600</v>
      </c>
      <c r="AG57" s="14" t="n">
        <v>600</v>
      </c>
      <c r="AH57" s="14" t="n">
        <v>600</v>
      </c>
      <c r="AI57" s="14" t="n">
        <v>600</v>
      </c>
      <c r="AJ57" s="14" t="n">
        <v>600</v>
      </c>
      <c r="AK57" s="14" t="n">
        <v>600</v>
      </c>
    </row>
    <row r="58" customFormat="false" ht="15" hidden="false" customHeight="false" outlineLevel="0" collapsed="false">
      <c r="A58" s="4" t="s">
        <v>186</v>
      </c>
      <c r="B58" s="14" t="n">
        <v>150</v>
      </c>
      <c r="C58" s="14" t="n">
        <v>150</v>
      </c>
      <c r="D58" s="14" t="n">
        <v>150</v>
      </c>
      <c r="E58" s="14" t="n">
        <v>150</v>
      </c>
      <c r="F58" s="14" t="n">
        <v>150</v>
      </c>
      <c r="G58" s="14" t="n">
        <v>150</v>
      </c>
      <c r="H58" s="14" t="n">
        <v>150</v>
      </c>
      <c r="I58" s="14" t="n">
        <v>150</v>
      </c>
      <c r="J58" s="14" t="n">
        <v>150</v>
      </c>
      <c r="K58" s="14" t="n">
        <v>150</v>
      </c>
      <c r="L58" s="14" t="n">
        <v>150</v>
      </c>
      <c r="M58" s="14" t="n">
        <v>150</v>
      </c>
      <c r="N58" s="14" t="n">
        <v>150</v>
      </c>
      <c r="O58" s="14" t="n">
        <v>150</v>
      </c>
      <c r="P58" s="14" t="n">
        <v>150</v>
      </c>
      <c r="Q58" s="14" t="n">
        <v>150</v>
      </c>
      <c r="R58" s="14" t="n">
        <v>150</v>
      </c>
      <c r="S58" s="14" t="n">
        <v>150</v>
      </c>
      <c r="T58" s="14" t="n">
        <v>150</v>
      </c>
      <c r="U58" s="14" t="n">
        <v>150</v>
      </c>
      <c r="V58" s="14" t="n">
        <v>150</v>
      </c>
      <c r="W58" s="14" t="n">
        <v>150</v>
      </c>
      <c r="X58" s="14" t="n">
        <v>150</v>
      </c>
      <c r="Y58" s="14" t="n">
        <v>150</v>
      </c>
      <c r="Z58" s="14" t="n">
        <v>150</v>
      </c>
      <c r="AA58" s="14" t="n">
        <v>150</v>
      </c>
      <c r="AB58" s="14" t="n">
        <v>150</v>
      </c>
      <c r="AC58" s="14" t="n">
        <v>150</v>
      </c>
      <c r="AD58" s="14" t="n">
        <v>150</v>
      </c>
      <c r="AE58" s="14" t="n">
        <v>150</v>
      </c>
      <c r="AF58" s="14" t="n">
        <v>150</v>
      </c>
      <c r="AG58" s="14" t="n">
        <v>150</v>
      </c>
      <c r="AH58" s="14" t="n">
        <v>150</v>
      </c>
      <c r="AI58" s="14" t="n">
        <v>150</v>
      </c>
      <c r="AJ58" s="14" t="n">
        <v>150</v>
      </c>
      <c r="AK58" s="14" t="n">
        <v>150</v>
      </c>
    </row>
    <row r="59" customFormat="false" ht="15" hidden="false" customHeight="false" outlineLevel="0" collapsed="false">
      <c r="A59" s="4" t="s">
        <v>76</v>
      </c>
      <c r="B59" s="14" t="n">
        <v>0</v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4000</v>
      </c>
      <c r="O59" s="14" t="n">
        <v>4000</v>
      </c>
      <c r="P59" s="14" t="n">
        <v>4000</v>
      </c>
      <c r="Q59" s="14" t="n">
        <v>4000</v>
      </c>
      <c r="R59" s="14" t="n">
        <v>4000</v>
      </c>
      <c r="S59" s="14" t="n">
        <v>4000</v>
      </c>
      <c r="T59" s="14" t="n">
        <v>4000</v>
      </c>
      <c r="U59" s="14" t="n">
        <v>4000</v>
      </c>
      <c r="V59" s="14" t="n">
        <v>4000</v>
      </c>
      <c r="W59" s="14" t="n">
        <v>4000</v>
      </c>
      <c r="X59" s="14" t="n">
        <v>4000</v>
      </c>
      <c r="Y59" s="14" t="n">
        <v>4000</v>
      </c>
      <c r="Z59" s="14" t="n">
        <v>8000</v>
      </c>
      <c r="AA59" s="14" t="n">
        <v>8000</v>
      </c>
      <c r="AB59" s="14" t="n">
        <v>8000</v>
      </c>
      <c r="AC59" s="14" t="n">
        <v>8000</v>
      </c>
      <c r="AD59" s="14" t="n">
        <v>8000</v>
      </c>
      <c r="AE59" s="14" t="n">
        <v>8000</v>
      </c>
      <c r="AF59" s="14" t="n">
        <v>8000</v>
      </c>
      <c r="AG59" s="14" t="n">
        <v>8000</v>
      </c>
      <c r="AH59" s="14" t="n">
        <v>8000</v>
      </c>
      <c r="AI59" s="14" t="n">
        <v>8000</v>
      </c>
      <c r="AJ59" s="14" t="n">
        <v>8000</v>
      </c>
      <c r="AK59" s="14" t="n">
        <v>8000</v>
      </c>
    </row>
    <row r="60" customFormat="false" ht="15" hidden="false" customHeight="false" outlineLevel="0" collapsed="false">
      <c r="A60" s="9" t="s">
        <v>77</v>
      </c>
      <c r="B60" s="18" t="n">
        <f aca="false">SUM(B54:B59)</f>
        <v>325</v>
      </c>
      <c r="C60" s="18" t="n">
        <f aca="false">SUM(C54:C59)</f>
        <v>325</v>
      </c>
      <c r="D60" s="18" t="n">
        <f aca="false">SUM(D54:D59)</f>
        <v>325</v>
      </c>
      <c r="E60" s="18" t="n">
        <f aca="false">SUM(E54:E59)</f>
        <v>725</v>
      </c>
      <c r="F60" s="18" t="n">
        <f aca="false">SUM(F54:F59)</f>
        <v>825</v>
      </c>
      <c r="G60" s="18" t="n">
        <f aca="false">SUM(G54:G59)</f>
        <v>925</v>
      </c>
      <c r="H60" s="18" t="n">
        <f aca="false">SUM(H54:H59)</f>
        <v>1025</v>
      </c>
      <c r="I60" s="18" t="n">
        <f aca="false">SUM(I54:I59)</f>
        <v>1125</v>
      </c>
      <c r="J60" s="18" t="n">
        <f aca="false">SUM(J54:J59)</f>
        <v>1225</v>
      </c>
      <c r="K60" s="18" t="n">
        <f aca="false">SUM(K54:K59)</f>
        <v>1325</v>
      </c>
      <c r="L60" s="18" t="n">
        <f aca="false">SUM(L54:L59)</f>
        <v>1425</v>
      </c>
      <c r="M60" s="18" t="n">
        <f aca="false">SUM(M54:M59)</f>
        <v>1525</v>
      </c>
      <c r="N60" s="18" t="n">
        <f aca="false">SUM(N54:N59)</f>
        <v>6700</v>
      </c>
      <c r="O60" s="18" t="n">
        <f aca="false">SUM(O54:O59)</f>
        <v>6700</v>
      </c>
      <c r="P60" s="18" t="n">
        <f aca="false">SUM(P54:P59)</f>
        <v>8200</v>
      </c>
      <c r="Q60" s="18" t="n">
        <f aca="false">SUM(Q54:Q59)</f>
        <v>8200</v>
      </c>
      <c r="R60" s="18" t="n">
        <f aca="false">SUM(R54:R59)</f>
        <v>8200</v>
      </c>
      <c r="S60" s="18" t="n">
        <f aca="false">SUM(S54:S59)</f>
        <v>8200</v>
      </c>
      <c r="T60" s="18" t="n">
        <f aca="false">SUM(T54:T59)</f>
        <v>8200</v>
      </c>
      <c r="U60" s="18" t="n">
        <f aca="false">SUM(U54:U59)</f>
        <v>8200</v>
      </c>
      <c r="V60" s="18" t="n">
        <f aca="false">SUM(V54:V59)</f>
        <v>8200</v>
      </c>
      <c r="W60" s="18" t="n">
        <f aca="false">SUM(W54:W59)</f>
        <v>8200</v>
      </c>
      <c r="X60" s="18" t="n">
        <f aca="false">SUM(X54:X59)</f>
        <v>8200</v>
      </c>
      <c r="Y60" s="18" t="n">
        <f aca="false">SUM(Y54:Y59)</f>
        <v>8200</v>
      </c>
      <c r="Z60" s="18" t="n">
        <f aca="false">SUM(Z54:Z59)</f>
        <v>16150</v>
      </c>
      <c r="AA60" s="18" t="n">
        <f aca="false">SUM(AA54:AA59)</f>
        <v>16150</v>
      </c>
      <c r="AB60" s="18" t="n">
        <f aca="false">SUM(AB54:AB59)</f>
        <v>16150</v>
      </c>
      <c r="AC60" s="18" t="n">
        <f aca="false">SUM(AC54:AC59)</f>
        <v>16150</v>
      </c>
      <c r="AD60" s="18" t="n">
        <f aca="false">SUM(AD54:AD59)</f>
        <v>16150</v>
      </c>
      <c r="AE60" s="18" t="n">
        <f aca="false">SUM(AE54:AE59)</f>
        <v>16150</v>
      </c>
      <c r="AF60" s="18" t="n">
        <f aca="false">SUM(AF54:AF59)</f>
        <v>16150</v>
      </c>
      <c r="AG60" s="18" t="n">
        <f aca="false">SUM(AG54:AG59)</f>
        <v>16150</v>
      </c>
      <c r="AH60" s="18" t="n">
        <f aca="false">SUM(AH54:AH59)</f>
        <v>16150</v>
      </c>
      <c r="AI60" s="18" t="n">
        <f aca="false">SUM(AI54:AI59)</f>
        <v>16150</v>
      </c>
      <c r="AJ60" s="18" t="n">
        <f aca="false">SUM(AJ54:AJ59)</f>
        <v>16150</v>
      </c>
      <c r="AK60" s="18" t="n">
        <f aca="false">SUM(AK54:AK59)</f>
        <v>16150</v>
      </c>
    </row>
    <row r="61" customFormat="false" ht="15" hidden="false" customHeight="false" outlineLevel="0" collapsed="false">
      <c r="A61" s="38" t="s">
        <v>78</v>
      </c>
      <c r="B61" s="23" t="n">
        <f aca="false">B50-B60</f>
        <v>139.561696611169</v>
      </c>
      <c r="C61" s="23" t="n">
        <f aca="false">C50-C60</f>
        <v>349.611304562232</v>
      </c>
      <c r="D61" s="23" t="n">
        <f aca="false">D50-D60</f>
        <v>661.810259471856</v>
      </c>
      <c r="E61" s="23" t="n">
        <f aca="false">E50-E60</f>
        <v>622.471081052011</v>
      </c>
      <c r="F61" s="23" t="n">
        <f aca="false">F50-F60</f>
        <v>934.385416921896</v>
      </c>
      <c r="G61" s="23" t="n">
        <f aca="false">G50-G60</f>
        <v>1441.4666434692</v>
      </c>
      <c r="H61" s="23" t="n">
        <f aca="false">H50-H60</f>
        <v>1903.51876233392</v>
      </c>
      <c r="I61" s="23" t="n">
        <f aca="false">I50-I60</f>
        <v>2123.9307088998</v>
      </c>
      <c r="J61" s="23" t="n">
        <f aca="false">J50-J60</f>
        <v>2623.64315043285</v>
      </c>
      <c r="K61" s="23" t="n">
        <f aca="false">K50-K60</f>
        <v>3164.5443275878</v>
      </c>
      <c r="L61" s="23" t="n">
        <f aca="false">L50-L60</f>
        <v>3497.09881132426</v>
      </c>
      <c r="M61" s="23" t="n">
        <f aca="false">M50-M60</f>
        <v>3872.11300855324</v>
      </c>
      <c r="N61" s="23" t="n">
        <f aca="false">N50-N60</f>
        <v>305.167369468976</v>
      </c>
      <c r="O61" s="23" t="n">
        <f aca="false">O50-O60</f>
        <v>1352.07984143561</v>
      </c>
      <c r="P61" s="23" t="n">
        <f aca="false">P50-P60</f>
        <v>99.0933552380775</v>
      </c>
      <c r="Q61" s="23" t="n">
        <f aca="false">Q50-Q60</f>
        <v>1119.53821760721</v>
      </c>
      <c r="R61" s="23" t="n">
        <f aca="false">R50-R60</f>
        <v>2176.46553033802</v>
      </c>
      <c r="S61" s="23" t="n">
        <f aca="false">S50-S60</f>
        <v>2900.65674835833</v>
      </c>
      <c r="T61" s="23" t="n">
        <f aca="false">T50-T60</f>
        <v>4025.29553144423</v>
      </c>
      <c r="U61" s="23" t="n">
        <f aca="false">U50-U60</f>
        <v>4813.53375286506</v>
      </c>
      <c r="V61" s="23" t="n">
        <f aca="false">V50-V60</f>
        <v>6000.06621168939</v>
      </c>
      <c r="W61" s="23" t="n">
        <f aca="false">W50-W60</f>
        <v>6847.81463495725</v>
      </c>
      <c r="X61" s="23" t="n">
        <f aca="false">X50-X60</f>
        <v>7906.21912703778</v>
      </c>
      <c r="Y61" s="23" t="n">
        <f aca="false">Y50-Y60</f>
        <v>8806.62209927604</v>
      </c>
      <c r="Z61" s="23" t="n">
        <f aca="false">Z50-Z60</f>
        <v>3191.47331592155</v>
      </c>
      <c r="AA61" s="23" t="n">
        <f aca="false">AA50-AA60</f>
        <v>4530.01651080457</v>
      </c>
      <c r="AB61" s="23" t="n">
        <f aca="false">AB50-AB60</f>
        <v>5715.55836080255</v>
      </c>
      <c r="AC61" s="23" t="n">
        <f aca="false">AC50-AC60</f>
        <v>7115.28614949337</v>
      </c>
      <c r="AD61" s="23" t="n">
        <f aca="false">AD50-AD60</f>
        <v>8360.33645674026</v>
      </c>
      <c r="AE61" s="23" t="n">
        <f aca="false">AE50-AE60</f>
        <v>9818.07172539662</v>
      </c>
      <c r="AF61" s="23" t="n">
        <f aca="false">AF50-AF60</f>
        <v>11119.2582740823</v>
      </c>
      <c r="AG61" s="23" t="n">
        <f aca="false">AG50-AG60</f>
        <v>12631.3947555266</v>
      </c>
      <c r="AH61" s="23" t="n">
        <f aca="false">AH50-AH60</f>
        <v>13985.9264933576</v>
      </c>
      <c r="AI61" s="23" t="n">
        <f aca="false">AI50-AI60</f>
        <v>15550.2335349408</v>
      </c>
      <c r="AJ61" s="23" t="n">
        <f aca="false">AJ50-AJ60</f>
        <v>16955.1592997308</v>
      </c>
      <c r="AK61" s="23" t="n">
        <f aca="false">AK50-AK60</f>
        <v>18384.2971991823</v>
      </c>
    </row>
    <row r="63" customFormat="false" ht="15" hidden="false" customHeight="false" outlineLevel="0" collapsed="false">
      <c r="A63" s="34" t="s">
        <v>187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</row>
    <row r="64" customFormat="false" ht="15" hidden="false" customHeight="false" outlineLevel="0" collapsed="false">
      <c r="A64" s="4" t="s">
        <v>79</v>
      </c>
      <c r="B64" s="14" t="n">
        <f aca="false">Assumptions!$B$47</f>
        <v>3850</v>
      </c>
      <c r="C64" s="14" t="n">
        <v>0</v>
      </c>
      <c r="D64" s="14" t="n">
        <v>0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</row>
    <row r="65" customFormat="false" ht="15" hidden="false" customHeight="false" outlineLevel="0" collapsed="false">
      <c r="A65" s="4" t="s">
        <v>109</v>
      </c>
      <c r="B65" s="11" t="n">
        <f aca="false">B43-B49-B60-B64</f>
        <v>-3670.01330338883</v>
      </c>
      <c r="C65" s="11" t="n">
        <f aca="false">C43-C49-C60-C64</f>
        <v>406.573804562232</v>
      </c>
      <c r="D65" s="11" t="n">
        <f aca="false">D43-D49-D60-D64</f>
        <v>741.557759471856</v>
      </c>
      <c r="E65" s="11" t="n">
        <f aca="false">E43-E49-E60-E64</f>
        <v>726.473581052011</v>
      </c>
      <c r="F65" s="11" t="n">
        <f aca="false">F43-F49-F60-F64</f>
        <v>1067.7879169219</v>
      </c>
      <c r="G65" s="11" t="n">
        <f aca="false">G43-G49-G60-G64</f>
        <v>1600.5941434692</v>
      </c>
      <c r="H65" s="11" t="n">
        <f aca="false">H43-H49-H60-H64</f>
        <v>2104.90876233392</v>
      </c>
      <c r="I65" s="11" t="n">
        <f aca="false">I43-I49-I60-I64</f>
        <v>2362.0707088998</v>
      </c>
      <c r="J65" s="11" t="n">
        <f aca="false">J43-J49-J60-J64</f>
        <v>2893.02065043285</v>
      </c>
      <c r="K65" s="11" t="n">
        <f aca="false">K43-K49-K60-K64</f>
        <v>3459.6468275878</v>
      </c>
      <c r="L65" s="11" t="n">
        <f aca="false">L43-L49-L60-L64</f>
        <v>3832.62631132426</v>
      </c>
      <c r="M65" s="11" t="n">
        <f aca="false">M43-M49-M60-M64</f>
        <v>4240.71550855324</v>
      </c>
      <c r="N65" s="11" t="n">
        <f aca="false">N43-N49-N60-N64</f>
        <v>1064.97361946898</v>
      </c>
      <c r="O65" s="11" t="n">
        <f aca="false">O43-O49-O60-O64</f>
        <v>2152.40296643561</v>
      </c>
      <c r="P65" s="11" t="n">
        <f aca="false">P43-P49-P60-P64</f>
        <v>934.292230238079</v>
      </c>
      <c r="Q65" s="11" t="n">
        <f aca="false">Q43-Q49-Q60-Q64</f>
        <v>1982.18934260721</v>
      </c>
      <c r="R65" s="11" t="n">
        <f aca="false">R43-R49-R60-R64</f>
        <v>3061.53415533802</v>
      </c>
      <c r="S65" s="11" t="n">
        <f aca="false">S43-S49-S60-S64</f>
        <v>3799.13912335833</v>
      </c>
      <c r="T65" s="11" t="n">
        <f aca="false">T43-T49-T60-T64</f>
        <v>4939.12103144423</v>
      </c>
      <c r="U65" s="11" t="n">
        <f aca="false">U43-U49-U60-U64</f>
        <v>5734.70925286506</v>
      </c>
      <c r="V65" s="11" t="n">
        <f aca="false">V43-V49-V60-V64</f>
        <v>6920.59858668939</v>
      </c>
      <c r="W65" s="11" t="n">
        <f aca="false">W43-W49-W60-W64</f>
        <v>7759.71075995725</v>
      </c>
      <c r="X65" s="11" t="n">
        <f aca="false">X43-X49-X60-X64</f>
        <v>8812.41900203778</v>
      </c>
      <c r="Y65" s="11" t="n">
        <f aca="false">Y43-Y49-Y60-Y64</f>
        <v>9700.14322427604</v>
      </c>
      <c r="Z65" s="11" t="n">
        <f aca="false">Z43-Z49-Z60-Z64</f>
        <v>5006.87737842156</v>
      </c>
      <c r="AA65" s="11" t="n">
        <f aca="false">AA43-AA49-AA60-AA64</f>
        <v>6332.23191705457</v>
      </c>
      <c r="AB65" s="11" t="n">
        <f aca="false">AB43-AB49-AB60-AB64</f>
        <v>7498.73910455254</v>
      </c>
      <c r="AC65" s="11" t="n">
        <f aca="false">AC43-AC49-AC60-AC64</f>
        <v>8872.78415574337</v>
      </c>
      <c r="AD65" s="11" t="n">
        <f aca="false">AD43-AD49-AD60-AD64</f>
        <v>10086.5785879903</v>
      </c>
      <c r="AE65" s="11" t="n">
        <f aca="false">AE43-AE49-AE60-AE64</f>
        <v>11505.6987941466</v>
      </c>
      <c r="AF65" s="11" t="n">
        <f aca="false">AF43-AF49-AF60-AF64</f>
        <v>12765.8309990823</v>
      </c>
      <c r="AG65" s="11" t="n">
        <f aca="false">AG43-AG49-AG60-AG64</f>
        <v>14230.0087305266</v>
      </c>
      <c r="AH65" s="11" t="n">
        <f aca="false">AH43-AH49-AH60-AH64</f>
        <v>15529.6773121076</v>
      </c>
      <c r="AI65" s="11" t="n">
        <f aca="false">AI43-AI49-AI60-AI64</f>
        <v>17032.2167911908</v>
      </c>
      <c r="AJ65" s="11" t="n">
        <f aca="false">AJ43-AJ49-AJ60-AJ64</f>
        <v>18373.3904934808</v>
      </c>
      <c r="AK65" s="11" t="n">
        <f aca="false">AK43-AK49-AK60-AK64</f>
        <v>19732.3267054323</v>
      </c>
    </row>
    <row r="66" customFormat="false" ht="15" hidden="false" customHeight="false" outlineLevel="0" collapsed="false">
      <c r="A66" s="38" t="s">
        <v>110</v>
      </c>
      <c r="B66" s="23" t="n">
        <f aca="false">Assumptions!$B$46+B65</f>
        <v>21329.9866966112</v>
      </c>
      <c r="C66" s="23" t="n">
        <f aca="false">B66+C65</f>
        <v>21736.5605011734</v>
      </c>
      <c r="D66" s="23" t="n">
        <f aca="false">C66+D65</f>
        <v>22478.1182606453</v>
      </c>
      <c r="E66" s="23" t="n">
        <f aca="false">D66+E65</f>
        <v>23204.5918416973</v>
      </c>
      <c r="F66" s="23" t="n">
        <f aca="false">E66+F65</f>
        <v>24272.3797586192</v>
      </c>
      <c r="G66" s="23" t="n">
        <f aca="false">F66+G65</f>
        <v>25872.9739020884</v>
      </c>
      <c r="H66" s="23" t="n">
        <f aca="false">G66+H65</f>
        <v>27977.8826644223</v>
      </c>
      <c r="I66" s="23" t="n">
        <f aca="false">H66+I65</f>
        <v>30339.9533733221</v>
      </c>
      <c r="J66" s="23" t="n">
        <f aca="false">I66+J65</f>
        <v>33232.9740237549</v>
      </c>
      <c r="K66" s="23" t="n">
        <f aca="false">J66+K65</f>
        <v>36692.6208513427</v>
      </c>
      <c r="L66" s="23" t="n">
        <f aca="false">K66+L65</f>
        <v>40525.247162667</v>
      </c>
      <c r="M66" s="23" t="n">
        <f aca="false">L66+M65</f>
        <v>44765.9626712202</v>
      </c>
      <c r="N66" s="23" t="n">
        <f aca="false">M66+N65</f>
        <v>45830.9362906892</v>
      </c>
      <c r="O66" s="23" t="n">
        <f aca="false">N66+O65</f>
        <v>47983.3392571248</v>
      </c>
      <c r="P66" s="23" t="n">
        <f aca="false">O66+P65</f>
        <v>48917.6314873629</v>
      </c>
      <c r="Q66" s="23" t="n">
        <f aca="false">P66+Q65</f>
        <v>50899.8208299701</v>
      </c>
      <c r="R66" s="23" t="n">
        <f aca="false">Q66+R65</f>
        <v>53961.3549853081</v>
      </c>
      <c r="S66" s="23" t="n">
        <f aca="false">R66+S65</f>
        <v>57760.4941086664</v>
      </c>
      <c r="T66" s="23" t="n">
        <f aca="false">S66+T65</f>
        <v>62699.6151401107</v>
      </c>
      <c r="U66" s="23" t="n">
        <f aca="false">T66+U65</f>
        <v>68434.3243929757</v>
      </c>
      <c r="V66" s="23" t="n">
        <f aca="false">U66+V65</f>
        <v>75354.9229796651</v>
      </c>
      <c r="W66" s="23" t="n">
        <f aca="false">V66+W65</f>
        <v>83114.6337396224</v>
      </c>
      <c r="X66" s="23" t="n">
        <f aca="false">W66+X65</f>
        <v>91927.0527416602</v>
      </c>
      <c r="Y66" s="23" t="n">
        <f aca="false">X66+Y65</f>
        <v>101627.195965936</v>
      </c>
      <c r="Z66" s="23" t="n">
        <f aca="false">Y66+Z65</f>
        <v>106634.073344358</v>
      </c>
      <c r="AA66" s="23" t="n">
        <f aca="false">Z66+AA65</f>
        <v>112966.305261412</v>
      </c>
      <c r="AB66" s="23" t="n">
        <f aca="false">AA66+AB65</f>
        <v>120465.044365965</v>
      </c>
      <c r="AC66" s="23" t="n">
        <f aca="false">AB66+AC65</f>
        <v>129337.828521708</v>
      </c>
      <c r="AD66" s="23" t="n">
        <f aca="false">AC66+AD65</f>
        <v>139424.407109699</v>
      </c>
      <c r="AE66" s="23" t="n">
        <f aca="false">AD66+AE65</f>
        <v>150930.105903845</v>
      </c>
      <c r="AF66" s="23" t="n">
        <f aca="false">AE66+AF65</f>
        <v>163695.936902927</v>
      </c>
      <c r="AG66" s="23" t="n">
        <f aca="false">AF66+AG65</f>
        <v>177925.945633454</v>
      </c>
      <c r="AH66" s="23" t="n">
        <f aca="false">AG66+AH65</f>
        <v>193455.622945562</v>
      </c>
      <c r="AI66" s="23" t="n">
        <f aca="false">AH66+AI65</f>
        <v>210487.839736752</v>
      </c>
      <c r="AJ66" s="23" t="n">
        <f aca="false">AI66+AJ65</f>
        <v>228861.230230233</v>
      </c>
      <c r="AK66" s="23" t="n">
        <f aca="false">AJ66+AK65</f>
        <v>248593.556935666</v>
      </c>
    </row>
    <row r="68" customFormat="false" ht="15" hidden="false" customHeight="false" outlineLevel="0" collapsed="false">
      <c r="A68" s="34" t="s">
        <v>188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 customFormat="false" ht="15" hidden="false" customHeight="false" outlineLevel="0" collapsed="false">
      <c r="A69" s="4" t="s">
        <v>189</v>
      </c>
      <c r="B69" s="24" t="n">
        <f aca="false">(IF(B5=1,0,INDEX(Assumptions!$B$60:$D$60,1,B5-1))+(INDEX(Assumptions!$B$60:$D$60,1,B5)-IF(B5=1,0,INDEX(Assumptions!$B$60:$D$60,1,B5-1)))*(B4-(B5-1)*12)/12)*Assumptions!$B$69</f>
        <v>1</v>
      </c>
      <c r="C69" s="24" t="n">
        <f aca="false">(IF(C5=1,0,INDEX(Assumptions!$B$60:$D$60,1,C5-1))+(INDEX(Assumptions!$B$60:$D$60,1,C5)-IF(C5=1,0,INDEX(Assumptions!$B$60:$D$60,1,C5-1)))*(C4-(C5-1)*12)/12)*Assumptions!$B$69</f>
        <v>2</v>
      </c>
      <c r="D69" s="24" t="n">
        <f aca="false">(IF(D5=1,0,INDEX(Assumptions!$B$60:$D$60,1,D5-1))+(INDEX(Assumptions!$B$60:$D$60,1,D5)-IF(D5=1,0,INDEX(Assumptions!$B$60:$D$60,1,D5-1)))*(D4-(D5-1)*12)/12)*Assumptions!$B$69</f>
        <v>3</v>
      </c>
      <c r="E69" s="24" t="n">
        <f aca="false">(IF(E5=1,0,INDEX(Assumptions!$B$60:$D$60,1,E5-1))+(INDEX(Assumptions!$B$60:$D$60,1,E5)-IF(E5=1,0,INDEX(Assumptions!$B$60:$D$60,1,E5-1)))*(E4-(E5-1)*12)/12)*Assumptions!$B$69</f>
        <v>4</v>
      </c>
      <c r="F69" s="24" t="n">
        <f aca="false">(IF(F5=1,0,INDEX(Assumptions!$B$60:$D$60,1,F5-1))+(INDEX(Assumptions!$B$60:$D$60,1,F5)-IF(F5=1,0,INDEX(Assumptions!$B$60:$D$60,1,F5-1)))*(F4-(F5-1)*12)/12)*Assumptions!$B$69</f>
        <v>5</v>
      </c>
      <c r="G69" s="24" t="n">
        <f aca="false">(IF(G5=1,0,INDEX(Assumptions!$B$60:$D$60,1,G5-1))+(INDEX(Assumptions!$B$60:$D$60,1,G5)-IF(G5=1,0,INDEX(Assumptions!$B$60:$D$60,1,G5-1)))*(G4-(G5-1)*12)/12)*Assumptions!$B$69</f>
        <v>6</v>
      </c>
      <c r="H69" s="24" t="n">
        <f aca="false">(IF(H5=1,0,INDEX(Assumptions!$B$60:$D$60,1,H5-1))+(INDEX(Assumptions!$B$60:$D$60,1,H5)-IF(H5=1,0,INDEX(Assumptions!$B$60:$D$60,1,H5-1)))*(H4-(H5-1)*12)/12)*Assumptions!$B$69</f>
        <v>7</v>
      </c>
      <c r="I69" s="24" t="n">
        <f aca="false">(IF(I5=1,0,INDEX(Assumptions!$B$60:$D$60,1,I5-1))+(INDEX(Assumptions!$B$60:$D$60,1,I5)-IF(I5=1,0,INDEX(Assumptions!$B$60:$D$60,1,I5-1)))*(I4-(I5-1)*12)/12)*Assumptions!$B$69</f>
        <v>8</v>
      </c>
      <c r="J69" s="24" t="n">
        <f aca="false">(IF(J5=1,0,INDEX(Assumptions!$B$60:$D$60,1,J5-1))+(INDEX(Assumptions!$B$60:$D$60,1,J5)-IF(J5=1,0,INDEX(Assumptions!$B$60:$D$60,1,J5-1)))*(J4-(J5-1)*12)/12)*Assumptions!$B$69</f>
        <v>9</v>
      </c>
      <c r="K69" s="24" t="n">
        <f aca="false">(IF(K5=1,0,INDEX(Assumptions!$B$60:$D$60,1,K5-1))+(INDEX(Assumptions!$B$60:$D$60,1,K5)-IF(K5=1,0,INDEX(Assumptions!$B$60:$D$60,1,K5-1)))*(K4-(K5-1)*12)/12)*Assumptions!$B$69</f>
        <v>10</v>
      </c>
      <c r="L69" s="24" t="n">
        <f aca="false">(IF(L5=1,0,INDEX(Assumptions!$B$60:$D$60,1,L5-1))+(INDEX(Assumptions!$B$60:$D$60,1,L5)-IF(L5=1,0,INDEX(Assumptions!$B$60:$D$60,1,L5-1)))*(L4-(L5-1)*12)/12)*Assumptions!$B$69</f>
        <v>11</v>
      </c>
      <c r="M69" s="24" t="n">
        <f aca="false">(IF(M5=1,0,INDEX(Assumptions!$B$60:$D$60,1,M5-1))+(INDEX(Assumptions!$B$60:$D$60,1,M5)-IF(M5=1,0,INDEX(Assumptions!$B$60:$D$60,1,M5-1)))*(M4-(M5-1)*12)/12)*Assumptions!$B$69</f>
        <v>12</v>
      </c>
      <c r="N69" s="24" t="n">
        <f aca="false">(IF(N5=1,0,INDEX(Assumptions!$B$60:$D$60,1,N5-1))+(INDEX(Assumptions!$B$60:$D$60,1,N5)-IF(N5=1,0,INDEX(Assumptions!$B$60:$D$60,1,N5-1)))*(N4-(N5-1)*12)/12)*Assumptions!$B$69</f>
        <v>14.75</v>
      </c>
      <c r="O69" s="24" t="n">
        <f aca="false">(IF(O5=1,0,INDEX(Assumptions!$B$60:$D$60,1,O5-1))+(INDEX(Assumptions!$B$60:$D$60,1,O5)-IF(O5=1,0,INDEX(Assumptions!$B$60:$D$60,1,O5-1)))*(O4-(O5-1)*12)/12)*Assumptions!$B$69</f>
        <v>17.5</v>
      </c>
      <c r="P69" s="24" t="n">
        <f aca="false">(IF(P5=1,0,INDEX(Assumptions!$B$60:$D$60,1,P5-1))+(INDEX(Assumptions!$B$60:$D$60,1,P5)-IF(P5=1,0,INDEX(Assumptions!$B$60:$D$60,1,P5-1)))*(P4-(P5-1)*12)/12)*Assumptions!$B$69</f>
        <v>20.25</v>
      </c>
      <c r="Q69" s="24" t="n">
        <f aca="false">(IF(Q5=1,0,INDEX(Assumptions!$B$60:$D$60,1,Q5-1))+(INDEX(Assumptions!$B$60:$D$60,1,Q5)-IF(Q5=1,0,INDEX(Assumptions!$B$60:$D$60,1,Q5-1)))*(Q4-(Q5-1)*12)/12)*Assumptions!$B$69</f>
        <v>23</v>
      </c>
      <c r="R69" s="24" t="n">
        <f aca="false">(IF(R5=1,0,INDEX(Assumptions!$B$60:$D$60,1,R5-1))+(INDEX(Assumptions!$B$60:$D$60,1,R5)-IF(R5=1,0,INDEX(Assumptions!$B$60:$D$60,1,R5-1)))*(R4-(R5-1)*12)/12)*Assumptions!$B$69</f>
        <v>25.75</v>
      </c>
      <c r="S69" s="24" t="n">
        <f aca="false">(IF(S5=1,0,INDEX(Assumptions!$B$60:$D$60,1,S5-1))+(INDEX(Assumptions!$B$60:$D$60,1,S5)-IF(S5=1,0,INDEX(Assumptions!$B$60:$D$60,1,S5-1)))*(S4-(S5-1)*12)/12)*Assumptions!$B$69</f>
        <v>28.5</v>
      </c>
      <c r="T69" s="24" t="n">
        <f aca="false">(IF(T5=1,0,INDEX(Assumptions!$B$60:$D$60,1,T5-1))+(INDEX(Assumptions!$B$60:$D$60,1,T5)-IF(T5=1,0,INDEX(Assumptions!$B$60:$D$60,1,T5-1)))*(T4-(T5-1)*12)/12)*Assumptions!$B$69</f>
        <v>31.25</v>
      </c>
      <c r="U69" s="24" t="n">
        <f aca="false">(IF(U5=1,0,INDEX(Assumptions!$B$60:$D$60,1,U5-1))+(INDEX(Assumptions!$B$60:$D$60,1,U5)-IF(U5=1,0,INDEX(Assumptions!$B$60:$D$60,1,U5-1)))*(U4-(U5-1)*12)/12)*Assumptions!$B$69</f>
        <v>34</v>
      </c>
      <c r="V69" s="24" t="n">
        <f aca="false">(IF(V5=1,0,INDEX(Assumptions!$B$60:$D$60,1,V5-1))+(INDEX(Assumptions!$B$60:$D$60,1,V5)-IF(V5=1,0,INDEX(Assumptions!$B$60:$D$60,1,V5-1)))*(V4-(V5-1)*12)/12)*Assumptions!$B$69</f>
        <v>36.75</v>
      </c>
      <c r="W69" s="24" t="n">
        <f aca="false">(IF(W5=1,0,INDEX(Assumptions!$B$60:$D$60,1,W5-1))+(INDEX(Assumptions!$B$60:$D$60,1,W5)-IF(W5=1,0,INDEX(Assumptions!$B$60:$D$60,1,W5-1)))*(W4-(W5-1)*12)/12)*Assumptions!$B$69</f>
        <v>39.5</v>
      </c>
      <c r="X69" s="24" t="n">
        <f aca="false">(IF(X5=1,0,INDEX(Assumptions!$B$60:$D$60,1,X5-1))+(INDEX(Assumptions!$B$60:$D$60,1,X5)-IF(X5=1,0,INDEX(Assumptions!$B$60:$D$60,1,X5-1)))*(X4-(X5-1)*12)/12)*Assumptions!$B$69</f>
        <v>42.25</v>
      </c>
      <c r="Y69" s="24" t="n">
        <f aca="false">(IF(Y5=1,0,INDEX(Assumptions!$B$60:$D$60,1,Y5-1))+(INDEX(Assumptions!$B$60:$D$60,1,Y5)-IF(Y5=1,0,INDEX(Assumptions!$B$60:$D$60,1,Y5-1)))*(Y4-(Y5-1)*12)/12)*Assumptions!$B$69</f>
        <v>45</v>
      </c>
      <c r="Z69" s="24" t="n">
        <f aca="false">(IF(Z5=1,0,INDEX(Assumptions!$B$60:$D$60,1,Z5-1))+(INDEX(Assumptions!$B$60:$D$60,1,Z5)-IF(Z5=1,0,INDEX(Assumptions!$B$60:$D$60,1,Z5-1)))*(Z4-(Z5-1)*12)/12)*Assumptions!$B$69</f>
        <v>49.5833333333333</v>
      </c>
      <c r="AA69" s="24" t="n">
        <f aca="false">(IF(AA5=1,0,INDEX(Assumptions!$B$60:$D$60,1,AA5-1))+(INDEX(Assumptions!$B$60:$D$60,1,AA5)-IF(AA5=1,0,INDEX(Assumptions!$B$60:$D$60,1,AA5-1)))*(AA4-(AA5-1)*12)/12)*Assumptions!$B$69</f>
        <v>54.1666666666667</v>
      </c>
      <c r="AB69" s="24" t="n">
        <f aca="false">(IF(AB5=1,0,INDEX(Assumptions!$B$60:$D$60,1,AB5-1))+(INDEX(Assumptions!$B$60:$D$60,1,AB5)-IF(AB5=1,0,INDEX(Assumptions!$B$60:$D$60,1,AB5-1)))*(AB4-(AB5-1)*12)/12)*Assumptions!$B$69</f>
        <v>58.75</v>
      </c>
      <c r="AC69" s="24" t="n">
        <f aca="false">(IF(AC5=1,0,INDEX(Assumptions!$B$60:$D$60,1,AC5-1))+(INDEX(Assumptions!$B$60:$D$60,1,AC5)-IF(AC5=1,0,INDEX(Assumptions!$B$60:$D$60,1,AC5-1)))*(AC4-(AC5-1)*12)/12)*Assumptions!$B$69</f>
        <v>63.3333333333333</v>
      </c>
      <c r="AD69" s="24" t="n">
        <f aca="false">(IF(AD5=1,0,INDEX(Assumptions!$B$60:$D$60,1,AD5-1))+(INDEX(Assumptions!$B$60:$D$60,1,AD5)-IF(AD5=1,0,INDEX(Assumptions!$B$60:$D$60,1,AD5-1)))*(AD4-(AD5-1)*12)/12)*Assumptions!$B$69</f>
        <v>67.9166666666667</v>
      </c>
      <c r="AE69" s="24" t="n">
        <f aca="false">(IF(AE5=1,0,INDEX(Assumptions!$B$60:$D$60,1,AE5-1))+(INDEX(Assumptions!$B$60:$D$60,1,AE5)-IF(AE5=1,0,INDEX(Assumptions!$B$60:$D$60,1,AE5-1)))*(AE4-(AE5-1)*12)/12)*Assumptions!$B$69</f>
        <v>72.5</v>
      </c>
      <c r="AF69" s="24" t="n">
        <f aca="false">(IF(AF5=1,0,INDEX(Assumptions!$B$60:$D$60,1,AF5-1))+(INDEX(Assumptions!$B$60:$D$60,1,AF5)-IF(AF5=1,0,INDEX(Assumptions!$B$60:$D$60,1,AF5-1)))*(AF4-(AF5-1)*12)/12)*Assumptions!$B$69</f>
        <v>77.0833333333333</v>
      </c>
      <c r="AG69" s="24" t="n">
        <f aca="false">(IF(AG5=1,0,INDEX(Assumptions!$B$60:$D$60,1,AG5-1))+(INDEX(Assumptions!$B$60:$D$60,1,AG5)-IF(AG5=1,0,INDEX(Assumptions!$B$60:$D$60,1,AG5-1)))*(AG4-(AG5-1)*12)/12)*Assumptions!$B$69</f>
        <v>81.6666666666667</v>
      </c>
      <c r="AH69" s="24" t="n">
        <f aca="false">(IF(AH5=1,0,INDEX(Assumptions!$B$60:$D$60,1,AH5-1))+(INDEX(Assumptions!$B$60:$D$60,1,AH5)-IF(AH5=1,0,INDEX(Assumptions!$B$60:$D$60,1,AH5-1)))*(AH4-(AH5-1)*12)/12)*Assumptions!$B$69</f>
        <v>86.25</v>
      </c>
      <c r="AI69" s="24" t="n">
        <f aca="false">(IF(AI5=1,0,INDEX(Assumptions!$B$60:$D$60,1,AI5-1))+(INDEX(Assumptions!$B$60:$D$60,1,AI5)-IF(AI5=1,0,INDEX(Assumptions!$B$60:$D$60,1,AI5-1)))*(AI4-(AI5-1)*12)/12)*Assumptions!$B$69</f>
        <v>90.8333333333333</v>
      </c>
      <c r="AJ69" s="24" t="n">
        <f aca="false">(IF(AJ5=1,0,INDEX(Assumptions!$B$60:$D$60,1,AJ5-1))+(INDEX(Assumptions!$B$60:$D$60,1,AJ5)-IF(AJ5=1,0,INDEX(Assumptions!$B$60:$D$60,1,AJ5-1)))*(AJ4-(AJ5-1)*12)/12)*Assumptions!$B$69</f>
        <v>95.4166666666667</v>
      </c>
      <c r="AK69" s="24" t="n">
        <f aca="false">(IF(AK5=1,0,INDEX(Assumptions!$B$60:$D$60,1,AK5-1))+(INDEX(Assumptions!$B$60:$D$60,1,AK5)-IF(AK5=1,0,INDEX(Assumptions!$B$60:$D$60,1,AK5-1)))*(AK4-(AK5-1)*12)/12)*Assumptions!$B$69</f>
        <v>100</v>
      </c>
    </row>
    <row r="70" customFormat="false" ht="15" hidden="false" customHeight="false" outlineLevel="0" collapsed="false">
      <c r="A70" s="4" t="s">
        <v>190</v>
      </c>
      <c r="B70" s="24" t="n">
        <f aca="false">B69</f>
        <v>1</v>
      </c>
      <c r="C70" s="24" t="n">
        <f aca="false">MAX(0,C69-B69)</f>
        <v>1</v>
      </c>
      <c r="D70" s="24" t="n">
        <f aca="false">MAX(0,D69-C69)</f>
        <v>1</v>
      </c>
      <c r="E70" s="24" t="n">
        <f aca="false">MAX(0,E69-D69)</f>
        <v>1</v>
      </c>
      <c r="F70" s="24" t="n">
        <f aca="false">MAX(0,F69-E69)</f>
        <v>1</v>
      </c>
      <c r="G70" s="24" t="n">
        <f aca="false">MAX(0,G69-F69)</f>
        <v>1</v>
      </c>
      <c r="H70" s="24" t="n">
        <f aca="false">MAX(0,H69-G69)</f>
        <v>1</v>
      </c>
      <c r="I70" s="24" t="n">
        <f aca="false">MAX(0,I69-H69)</f>
        <v>1</v>
      </c>
      <c r="J70" s="24" t="n">
        <f aca="false">MAX(0,J69-I69)</f>
        <v>1</v>
      </c>
      <c r="K70" s="24" t="n">
        <f aca="false">MAX(0,K69-J69)</f>
        <v>1</v>
      </c>
      <c r="L70" s="24" t="n">
        <f aca="false">MAX(0,L69-K69)</f>
        <v>1</v>
      </c>
      <c r="M70" s="24" t="n">
        <f aca="false">MAX(0,M69-L69)</f>
        <v>1</v>
      </c>
      <c r="N70" s="24" t="n">
        <f aca="false">MAX(0,N69-M69)</f>
        <v>2.75</v>
      </c>
      <c r="O70" s="24" t="n">
        <f aca="false">MAX(0,O69-N69)</f>
        <v>2.75</v>
      </c>
      <c r="P70" s="24" t="n">
        <f aca="false">MAX(0,P69-O69)</f>
        <v>2.75</v>
      </c>
      <c r="Q70" s="24" t="n">
        <f aca="false">MAX(0,Q69-P69)</f>
        <v>2.75</v>
      </c>
      <c r="R70" s="24" t="n">
        <f aca="false">MAX(0,R69-Q69)</f>
        <v>2.75</v>
      </c>
      <c r="S70" s="24" t="n">
        <f aca="false">MAX(0,S69-R69)</f>
        <v>2.75</v>
      </c>
      <c r="T70" s="24" t="n">
        <f aca="false">MAX(0,T69-S69)</f>
        <v>2.75</v>
      </c>
      <c r="U70" s="24" t="n">
        <f aca="false">MAX(0,U69-T69)</f>
        <v>2.75</v>
      </c>
      <c r="V70" s="24" t="n">
        <f aca="false">MAX(0,V69-U69)</f>
        <v>2.75</v>
      </c>
      <c r="W70" s="24" t="n">
        <f aca="false">MAX(0,W69-V69)</f>
        <v>2.75</v>
      </c>
      <c r="X70" s="24" t="n">
        <f aca="false">MAX(0,X69-W69)</f>
        <v>2.75</v>
      </c>
      <c r="Y70" s="24" t="n">
        <f aca="false">MAX(0,Y69-X69)</f>
        <v>2.75</v>
      </c>
      <c r="Z70" s="24" t="n">
        <f aca="false">MAX(0,Z69-Y69)</f>
        <v>4.58333333333334</v>
      </c>
      <c r="AA70" s="24" t="n">
        <f aca="false">MAX(0,AA69-Z69)</f>
        <v>4.58333333333333</v>
      </c>
      <c r="AB70" s="24" t="n">
        <f aca="false">MAX(0,AB69-AA69)</f>
        <v>4.58333333333334</v>
      </c>
      <c r="AC70" s="24" t="n">
        <f aca="false">MAX(0,AC69-AB69)</f>
        <v>4.58333333333333</v>
      </c>
      <c r="AD70" s="24" t="n">
        <f aca="false">MAX(0,AD69-AC69)</f>
        <v>4.58333333333334</v>
      </c>
      <c r="AE70" s="24" t="n">
        <f aca="false">MAX(0,AE69-AD69)</f>
        <v>4.58333333333333</v>
      </c>
      <c r="AF70" s="24" t="n">
        <f aca="false">MAX(0,AF69-AE69)</f>
        <v>4.58333333333334</v>
      </c>
      <c r="AG70" s="24" t="n">
        <f aca="false">MAX(0,AG69-AF69)</f>
        <v>4.58333333333331</v>
      </c>
      <c r="AH70" s="24" t="n">
        <f aca="false">MAX(0,AH69-AG69)</f>
        <v>4.58333333333334</v>
      </c>
      <c r="AI70" s="24" t="n">
        <f aca="false">MAX(0,AI69-AH69)</f>
        <v>4.58333333333334</v>
      </c>
      <c r="AJ70" s="24" t="n">
        <f aca="false">MAX(0,AJ69-AI69)</f>
        <v>4.58333333333331</v>
      </c>
      <c r="AK70" s="24" t="n">
        <f aca="false">MAX(0,AK69-AJ69)</f>
        <v>4.58333333333334</v>
      </c>
    </row>
    <row r="71" customFormat="false" ht="15" hidden="false" customHeight="false" outlineLevel="0" collapsed="false">
      <c r="A71" s="4" t="s">
        <v>191</v>
      </c>
      <c r="B71" s="15" t="n">
        <f aca="false">B31*Assumptions!$B$36+(B28+B29)*Assumptions!$B$37+B30*Assumptions!$B$38</f>
        <v>31.8</v>
      </c>
      <c r="C71" s="15" t="n">
        <f aca="false">C31*Assumptions!$B$36+(C28+C29)*Assumptions!$B$37+C30*Assumptions!$B$38</f>
        <v>73.392</v>
      </c>
      <c r="D71" s="15" t="n">
        <f aca="false">D31*Assumptions!$B$36+(D28+D29)*Assumptions!$B$37+D30*Assumptions!$B$38</f>
        <v>133.29496</v>
      </c>
      <c r="E71" s="15" t="n">
        <f aca="false">E31*Assumptions!$B$36+(E28+E29)*Assumptions!$B$37+E30*Assumptions!$B$38</f>
        <v>209.7911648</v>
      </c>
      <c r="F71" s="15" t="n">
        <f aca="false">F31*Assumptions!$B$36+(F28+F29)*Assumptions!$B$37+F30*Assumptions!$B$38</f>
        <v>306.377025024</v>
      </c>
      <c r="G71" s="15" t="n">
        <f aca="false">G31*Assumptions!$B$36+(G28+G29)*Assumptions!$B$37+G30*Assumptions!$B$38</f>
        <v>419.52164202112</v>
      </c>
      <c r="H71" s="15" t="n">
        <f aca="false">H31*Assumptions!$B$36+(H28+H29)*Assumptions!$B$37+H30*Assumptions!$B$38</f>
        <v>562.281407978586</v>
      </c>
      <c r="I71" s="15" t="n">
        <f aca="false">I31*Assumptions!$B$36+(I28+I29)*Assumptions!$B$37+I30*Assumptions!$B$38</f>
        <v>727.309916671155</v>
      </c>
      <c r="J71" s="15" t="n">
        <f aca="false">J31*Assumptions!$B$36+(J28+J29)*Assumptions!$B$37+J30*Assumptions!$B$38</f>
        <v>912.409452678117</v>
      </c>
      <c r="K71" s="15" t="n">
        <f aca="false">K31*Assumptions!$B$36+(K28+K29)*Assumptions!$B$37+K30*Assumptions!$B$38</f>
        <v>1114.11791385587</v>
      </c>
      <c r="L71" s="15" t="n">
        <f aca="false">L31*Assumptions!$B$36+(L28+L29)*Assumptions!$B$37+L30*Assumptions!$B$38</f>
        <v>1343.54744055093</v>
      </c>
      <c r="M71" s="15" t="n">
        <f aca="false">M31*Assumptions!$B$36+(M28+M29)*Assumptions!$B$37+M30*Assumptions!$B$38</f>
        <v>1597.49696473158</v>
      </c>
      <c r="N71" s="15" t="n">
        <f aca="false">N31*Assumptions!$B$36+(N28+N29)*Assumptions!$B$37+N30*Assumptions!$B$38</f>
        <v>1878.85580076372</v>
      </c>
      <c r="O71" s="15" t="n">
        <f aca="false">O31*Assumptions!$B$36+(O28+O29)*Assumptions!$B$37+O30*Assumptions!$B$38</f>
        <v>2177.6899913664</v>
      </c>
      <c r="P71" s="15" t="n">
        <f aca="false">P31*Assumptions!$B$36+(P28+P29)*Assumptions!$B$37+P30*Assumptions!$B$38</f>
        <v>2491.13800654958</v>
      </c>
      <c r="Q71" s="15" t="n">
        <f aca="false">Q31*Assumptions!$B$36+(Q28+Q29)*Assumptions!$B$37+Q30*Assumptions!$B$38</f>
        <v>2816.92435363343</v>
      </c>
      <c r="R71" s="15" t="n">
        <f aca="false">R31*Assumptions!$B$36+(R28+R29)*Assumptions!$B$37+R30*Assumptions!$B$38</f>
        <v>3153.15453221774</v>
      </c>
      <c r="S71" s="15" t="n">
        <f aca="false">S31*Assumptions!$B$36+(S28+S29)*Assumptions!$B$37+S30*Assumptions!$B$38</f>
        <v>3498.37857935613</v>
      </c>
      <c r="T71" s="15" t="n">
        <f aca="false">T31*Assumptions!$B$36+(T28+T29)*Assumptions!$B$37+T30*Assumptions!$B$38</f>
        <v>3851.17649951586</v>
      </c>
      <c r="U71" s="15" t="n">
        <f aca="false">U31*Assumptions!$B$36+(U28+U29)*Assumptions!$B$37+U30*Assumptions!$B$38</f>
        <v>4210.59871355483</v>
      </c>
      <c r="V71" s="15" t="n">
        <f aca="false">V31*Assumptions!$B$36+(V28+V29)*Assumptions!$B$37+V30*Assumptions!$B$38</f>
        <v>4575.87483283611</v>
      </c>
      <c r="W71" s="15" t="n">
        <f aca="false">W31*Assumptions!$B$36+(W28+W29)*Assumptions!$B$37+W30*Assumptions!$B$38</f>
        <v>4946.37860225907</v>
      </c>
      <c r="X71" s="15" t="n">
        <f aca="false">X31*Assumptions!$B$36+(X28+X29)*Assumptions!$B$37+X30*Assumptions!$B$38</f>
        <v>5321.35228624376</v>
      </c>
      <c r="Y71" s="15" t="n">
        <f aca="false">Y31*Assumptions!$B$36+(Y28+Y29)*Assumptions!$B$37+Y30*Assumptions!$B$38</f>
        <v>5700.37911602603</v>
      </c>
      <c r="Z71" s="15" t="n">
        <f aca="false">Z31*Assumptions!$B$36+(Z28+Z29)*Assumptions!$B$37+Z30*Assumptions!$B$38</f>
        <v>6104.12096147776</v>
      </c>
      <c r="AA71" s="15" t="n">
        <f aca="false">AA31*Assumptions!$B$36+(AA28+AA29)*Assumptions!$B$37+AA30*Assumptions!$B$38</f>
        <v>6511.68753886412</v>
      </c>
      <c r="AB71" s="15" t="n">
        <f aca="false">AB31*Assumptions!$B$36+(AB28+AB29)*Assumptions!$B$37+AB30*Assumptions!$B$38</f>
        <v>6922.82250190726</v>
      </c>
      <c r="AC71" s="15" t="n">
        <f aca="false">AC31*Assumptions!$B$36+(AC28+AC29)*Assumptions!$B$37+AC30*Assumptions!$B$38</f>
        <v>7337.32889972488</v>
      </c>
      <c r="AD71" s="15" t="n">
        <f aca="false">AD31*Assumptions!$B$36+(AD28+AD29)*Assumptions!$B$37+AD30*Assumptions!$B$38</f>
        <v>7755.01737504966</v>
      </c>
      <c r="AE71" s="15" t="n">
        <f aca="false">AE31*Assumptions!$B$36+(AE28+AE29)*Assumptions!$B$37+AE30*Assumptions!$B$38</f>
        <v>8175.76718082006</v>
      </c>
      <c r="AF71" s="15" t="n">
        <f aca="false">AF31*Assumptions!$B$36+(AF28+AF29)*Assumptions!$B$37+AF30*Assumptions!$B$38</f>
        <v>8599.3656018954</v>
      </c>
      <c r="AG71" s="15" t="n">
        <f aca="false">AG31*Assumptions!$B$36+(AG28+AG29)*Assumptions!$B$37+AG30*Assumptions!$B$38</f>
        <v>9025.72697625902</v>
      </c>
      <c r="AH71" s="15" t="n">
        <f aca="false">AH31*Assumptions!$B$36+(AH28+AH29)*Assumptions!$B$37+AH30*Assumptions!$B$38</f>
        <v>9454.77833116571</v>
      </c>
      <c r="AI71" s="15" t="n">
        <f aca="false">AI31*Assumptions!$B$36+(AI28+AI29)*Assumptions!$B$37+AI30*Assumptions!$B$38</f>
        <v>9886.45698656741</v>
      </c>
      <c r="AJ71" s="15" t="n">
        <f aca="false">AJ31*Assumptions!$B$36+(AJ28+AJ29)*Assumptions!$B$37+AJ30*Assumptions!$B$38</f>
        <v>10320.5972576571</v>
      </c>
      <c r="AK71" s="15" t="n">
        <f aca="false">AK31*Assumptions!$B$36+(AK28+AK29)*Assumptions!$B$37+AK30*Assumptions!$B$38</f>
        <v>10757.151661978</v>
      </c>
    </row>
    <row r="72" customFormat="false" ht="15" hidden="false" customHeight="false" outlineLevel="0" collapsed="false">
      <c r="A72" s="4" t="s">
        <v>192</v>
      </c>
      <c r="B72" s="24" t="n">
        <f aca="false">IF(B69&lt;=0,0,B71/B69)</f>
        <v>31.8</v>
      </c>
      <c r="C72" s="24" t="n">
        <f aca="false">IF(C69&lt;=0,0,C71/C69)</f>
        <v>36.696</v>
      </c>
      <c r="D72" s="24" t="n">
        <f aca="false">IF(D69&lt;=0,0,D71/D69)</f>
        <v>44.4316533333333</v>
      </c>
      <c r="E72" s="24" t="n">
        <f aca="false">IF(E69&lt;=0,0,E71/E69)</f>
        <v>52.4477912</v>
      </c>
      <c r="F72" s="24" t="n">
        <f aca="false">IF(F69&lt;=0,0,F71/F69)</f>
        <v>61.2754050048</v>
      </c>
      <c r="G72" s="24" t="n">
        <f aca="false">IF(G69&lt;=0,0,G71/G69)</f>
        <v>69.9202736701867</v>
      </c>
      <c r="H72" s="24" t="n">
        <f aca="false">IF(H69&lt;=0,0,H71/H69)</f>
        <v>80.3259154255122</v>
      </c>
      <c r="I72" s="24" t="n">
        <f aca="false">IF(I69&lt;=0,0,I71/I69)</f>
        <v>90.9137395838944</v>
      </c>
      <c r="J72" s="24" t="n">
        <f aca="false">IF(J69&lt;=0,0,J71/J69)</f>
        <v>101.378828075346</v>
      </c>
      <c r="K72" s="24" t="n">
        <f aca="false">IF(K69&lt;=0,0,K71/K69)</f>
        <v>111.411791385587</v>
      </c>
      <c r="L72" s="24" t="n">
        <f aca="false">IF(L69&lt;=0,0,L71/L69)</f>
        <v>122.140676413721</v>
      </c>
      <c r="M72" s="24" t="n">
        <f aca="false">IF(M69&lt;=0,0,M71/M69)</f>
        <v>133.124747060965</v>
      </c>
      <c r="N72" s="24" t="n">
        <f aca="false">IF(N69&lt;=0,0,N71/N69)</f>
        <v>127.380054289066</v>
      </c>
      <c r="O72" s="24" t="n">
        <f aca="false">IF(O69&lt;=0,0,O71/O69)</f>
        <v>124.43942807808</v>
      </c>
      <c r="P72" s="24" t="n">
        <f aca="false">IF(P69&lt;=0,0,P71/P69)</f>
        <v>123.019160817263</v>
      </c>
      <c r="Q72" s="24" t="n">
        <f aca="false">IF(Q69&lt;=0,0,Q71/Q69)</f>
        <v>122.474971897105</v>
      </c>
      <c r="R72" s="24" t="n">
        <f aca="false">IF(R69&lt;=0,0,R71/R69)</f>
        <v>122.452603192922</v>
      </c>
      <c r="S72" s="24" t="n">
        <f aca="false">IF(S69&lt;=0,0,S71/S69)</f>
        <v>122.750125591443</v>
      </c>
      <c r="T72" s="24" t="n">
        <f aca="false">IF(T69&lt;=0,0,T71/T69)</f>
        <v>123.237647984507</v>
      </c>
      <c r="U72" s="24" t="n">
        <f aca="false">IF(U69&lt;=0,0,U71/U69)</f>
        <v>123.841138633966</v>
      </c>
      <c r="V72" s="24" t="n">
        <f aca="false">IF(V69&lt;=0,0,V71/V69)</f>
        <v>124.5136008935</v>
      </c>
      <c r="W72" s="24" t="n">
        <f aca="false">IF(W69&lt;=0,0,W71/W69)</f>
        <v>125.224774740736</v>
      </c>
      <c r="X72" s="24" t="n">
        <f aca="false">IF(X69&lt;=0,0,X71/X69)</f>
        <v>125.949166538314</v>
      </c>
      <c r="Y72" s="24" t="n">
        <f aca="false">IF(Y69&lt;=0,0,Y71/Y69)</f>
        <v>126.675091467245</v>
      </c>
      <c r="Z72" s="24" t="n">
        <f aca="false">IF(Z69&lt;=0,0,Z71/Z69)</f>
        <v>123.108321912157</v>
      </c>
      <c r="AA72" s="24" t="n">
        <f aca="false">IF(AA69&lt;=0,0,AA71/AA69)</f>
        <v>120.215769948261</v>
      </c>
      <c r="AB72" s="24" t="n">
        <f aca="false">IF(AB69&lt;=0,0,AB71/AB69)</f>
        <v>117.835276628209</v>
      </c>
      <c r="AC72" s="24" t="n">
        <f aca="false">IF(AC69&lt;=0,0,AC71/AC69)</f>
        <v>115.852561574603</v>
      </c>
      <c r="AD72" s="24" t="n">
        <f aca="false">IF(AD69&lt;=0,0,AD71/AD69)</f>
        <v>114.184304908707</v>
      </c>
      <c r="AE72" s="24" t="n">
        <f aca="false">IF(AE69&lt;=0,0,AE71/AE69)</f>
        <v>112.76920249407</v>
      </c>
      <c r="AF72" s="24" t="n">
        <f aca="false">IF(AF69&lt;=0,0,AF71/AF69)</f>
        <v>111.559337538102</v>
      </c>
      <c r="AG72" s="24" t="n">
        <f aca="false">IF(AG69&lt;=0,0,AG71/AG69)</f>
        <v>110.519105831743</v>
      </c>
      <c r="AH72" s="24" t="n">
        <f aca="false">IF(AH69&lt;=0,0,AH71/AH69)</f>
        <v>109.620618332356</v>
      </c>
      <c r="AI72" s="24" t="n">
        <f aca="false">IF(AI69&lt;=0,0,AI71/AI69)</f>
        <v>108.841728292485</v>
      </c>
      <c r="AJ72" s="24" t="n">
        <f aca="false">IF(AJ69&lt;=0,0,AJ71/AJ69)</f>
        <v>108.16346470907</v>
      </c>
      <c r="AK72" s="24" t="n">
        <f aca="false">IF(AK69&lt;=0,0,AK71/AK69)</f>
        <v>107.57151661978</v>
      </c>
    </row>
    <row r="73" customFormat="false" ht="15" hidden="false" customHeight="false" outlineLevel="0" collapsed="false">
      <c r="A73" s="4" t="s">
        <v>193</v>
      </c>
      <c r="B73" s="36" t="n">
        <f aca="false">IF(B72&lt;=0,0,Assumptions!$B$26*(1-EXP(-(B72*Assumptions!$B$28)/Assumptions!$B$26))*Assumptions!$B$17+Assumptions!$B$26*(1-EXP(-(B72*Assumptions!$B$29)/Assumptions!$B$26))*Assumptions!$B$20*Assumptions!$B$35+Assumptions!$B$27*(1-EXP(-(B72*Assumptions!$B$31)/Assumptions!$B$27))*Assumptions!$B$19*Assumptions!$B$35+Assumptions!$B$26*(1-EXP(-(B72*Assumptions!$B$30)/Assumptions!$B$26))*Assumptions!$B$18)</f>
        <v>50.1026643888313</v>
      </c>
      <c r="C73" s="36" t="n">
        <f aca="false">IF(C72&lt;=0,0,Assumptions!$B$26*(1-EXP(-(C72*Assumptions!$B$28)/Assumptions!$B$26))*Assumptions!$B$17+Assumptions!$B$26*(1-EXP(-(C72*Assumptions!$B$29)/Assumptions!$B$26))*Assumptions!$B$20*Assumptions!$B$35+Assumptions!$B$27*(1-EXP(-(C72*Assumptions!$B$31)/Assumptions!$B$27))*Assumptions!$B$19*Assumptions!$B$35+Assumptions!$B$26*(1-EXP(-(C72*Assumptions!$B$30)/Assumptions!$B$26))*Assumptions!$B$18)</f>
        <v>51.0894013088838</v>
      </c>
      <c r="D73" s="36" t="n">
        <f aca="false">IF(D72&lt;=0,0,Assumptions!$B$26*(1-EXP(-(D72*Assumptions!$B$28)/Assumptions!$B$26))*Assumptions!$B$17+Assumptions!$B$26*(1-EXP(-(D72*Assumptions!$B$29)/Assumptions!$B$26))*Assumptions!$B$20*Assumptions!$B$35+Assumptions!$B$27*(1-EXP(-(D72*Assumptions!$B$31)/Assumptions!$B$27))*Assumptions!$B$19*Assumptions!$B$35+Assumptions!$B$26*(1-EXP(-(D72*Assumptions!$B$30)/Assumptions!$B$26))*Assumptions!$B$18)</f>
        <v>52.278940348848</v>
      </c>
      <c r="E73" s="36" t="n">
        <f aca="false">IF(E72&lt;=0,0,Assumptions!$B$26*(1-EXP(-(E72*Assumptions!$B$28)/Assumptions!$B$26))*Assumptions!$B$17+Assumptions!$B$26*(1-EXP(-(E72*Assumptions!$B$29)/Assumptions!$B$26))*Assumptions!$B$20*Assumptions!$B$35+Assumptions!$B$27*(1-EXP(-(E72*Assumptions!$B$31)/Assumptions!$B$27))*Assumptions!$B$19*Assumptions!$B$35+Assumptions!$B$26*(1-EXP(-(E72*Assumptions!$B$30)/Assumptions!$B$26))*Assumptions!$B$18)</f>
        <v>53.2178106010453</v>
      </c>
      <c r="F73" s="36" t="n">
        <f aca="false">IF(F72&lt;=0,0,Assumptions!$B$26*(1-EXP(-(F72*Assumptions!$B$28)/Assumptions!$B$26))*Assumptions!$B$17+Assumptions!$B$26*(1-EXP(-(F72*Assumptions!$B$29)/Assumptions!$B$26))*Assumptions!$B$20*Assumptions!$B$35+Assumptions!$B$27*(1-EXP(-(F72*Assumptions!$B$31)/Assumptions!$B$27))*Assumptions!$B$19*Assumptions!$B$35+Assumptions!$B$26*(1-EXP(-(F72*Assumptions!$B$30)/Assumptions!$B$26))*Assumptions!$B$18)</f>
        <v>54.0239225439106</v>
      </c>
      <c r="G73" s="36" t="n">
        <f aca="false">IF(G72&lt;=0,0,Assumptions!$B$26*(1-EXP(-(G72*Assumptions!$B$28)/Assumptions!$B$26))*Assumptions!$B$17+Assumptions!$B$26*(1-EXP(-(G72*Assumptions!$B$29)/Assumptions!$B$26))*Assumptions!$B$20*Assumptions!$B$35+Assumptions!$B$27*(1-EXP(-(G72*Assumptions!$B$31)/Assumptions!$B$27))*Assumptions!$B$19*Assumptions!$B$35+Assumptions!$B$26*(1-EXP(-(G72*Assumptions!$B$30)/Assumptions!$B$26))*Assumptions!$B$18)</f>
        <v>54.6443969117877</v>
      </c>
      <c r="H73" s="36" t="n">
        <f aca="false">IF(H72&lt;=0,0,Assumptions!$B$26*(1-EXP(-(H72*Assumptions!$B$28)/Assumptions!$B$26))*Assumptions!$B$17+Assumptions!$B$26*(1-EXP(-(H72*Assumptions!$B$29)/Assumptions!$B$26))*Assumptions!$B$20*Assumptions!$B$35+Assumptions!$B$27*(1-EXP(-(H72*Assumptions!$B$31)/Assumptions!$B$27))*Assumptions!$B$19*Assumptions!$B$35+Assumptions!$B$26*(1-EXP(-(H72*Assumptions!$B$30)/Assumptions!$B$26))*Assumptions!$B$18)</f>
        <v>55.2238735290811</v>
      </c>
      <c r="I73" s="36" t="n">
        <f aca="false">IF(I72&lt;=0,0,Assumptions!$B$26*(1-EXP(-(I72*Assumptions!$B$28)/Assumptions!$B$26))*Assumptions!$B$17+Assumptions!$B$26*(1-EXP(-(I72*Assumptions!$B$29)/Assumptions!$B$26))*Assumptions!$B$20*Assumptions!$B$35+Assumptions!$B$27*(1-EXP(-(I72*Assumptions!$B$31)/Assumptions!$B$27))*Assumptions!$B$19*Assumptions!$B$35+Assumptions!$B$26*(1-EXP(-(I72*Assumptions!$B$30)/Assumptions!$B$26))*Assumptions!$B$18)</f>
        <v>55.6705747018029</v>
      </c>
      <c r="J73" s="36" t="n">
        <f aca="false">IF(J72&lt;=0,0,Assumptions!$B$26*(1-EXP(-(J72*Assumptions!$B$28)/Assumptions!$B$26))*Assumptions!$B$17+Assumptions!$B$26*(1-EXP(-(J72*Assumptions!$B$29)/Assumptions!$B$26))*Assumptions!$B$20*Assumptions!$B$35+Assumptions!$B$27*(1-EXP(-(J72*Assumptions!$B$31)/Assumptions!$B$27))*Assumptions!$B$19*Assumptions!$B$35+Assumptions!$B$26*(1-EXP(-(J72*Assumptions!$B$30)/Assumptions!$B$26))*Assumptions!$B$18)</f>
        <v>56.0050949883593</v>
      </c>
      <c r="K73" s="36" t="n">
        <f aca="false">IF(K72&lt;=0,0,Assumptions!$B$26*(1-EXP(-(K72*Assumptions!$B$28)/Assumptions!$B$26))*Assumptions!$B$17+Assumptions!$B$26*(1-EXP(-(K72*Assumptions!$B$29)/Assumptions!$B$26))*Assumptions!$B$20*Assumptions!$B$35+Assumptions!$B$27*(1-EXP(-(K72*Assumptions!$B$31)/Assumptions!$B$27))*Assumptions!$B$19*Assumptions!$B$35+Assumptions!$B$26*(1-EXP(-(K72*Assumptions!$B$30)/Assumptions!$B$26))*Assumptions!$B$18)</f>
        <v>56.2498918247706</v>
      </c>
      <c r="L73" s="36" t="n">
        <f aca="false">IF(L72&lt;=0,0,Assumptions!$B$26*(1-EXP(-(L72*Assumptions!$B$28)/Assumptions!$B$26))*Assumptions!$B$17+Assumptions!$B$26*(1-EXP(-(L72*Assumptions!$B$29)/Assumptions!$B$26))*Assumptions!$B$20*Assumptions!$B$35+Assumptions!$B$27*(1-EXP(-(L72*Assumptions!$B$31)/Assumptions!$B$27))*Assumptions!$B$19*Assumptions!$B$35+Assumptions!$B$26*(1-EXP(-(L72*Assumptions!$B$30)/Assumptions!$B$26))*Assumptions!$B$18)</f>
        <v>56.449166555647</v>
      </c>
      <c r="M73" s="36" t="n">
        <f aca="false">IF(M72&lt;=0,0,Assumptions!$B$26*(1-EXP(-(M72*Assumptions!$B$28)/Assumptions!$B$26))*Assumptions!$B$17+Assumptions!$B$26*(1-EXP(-(M72*Assumptions!$B$29)/Assumptions!$B$26))*Assumptions!$B$20*Assumptions!$B$35+Assumptions!$B$27*(1-EXP(-(M72*Assumptions!$B$31)/Assumptions!$B$27))*Assumptions!$B$19*Assumptions!$B$35+Assumptions!$B$26*(1-EXP(-(M72*Assumptions!$B$30)/Assumptions!$B$26))*Assumptions!$B$18)</f>
        <v>56.6025038471561</v>
      </c>
      <c r="N73" s="36" t="n">
        <f aca="false">IF(N72&lt;=0,0,Assumptions!$B$26*(1-EXP(-(N72*Assumptions!$B$28)/Assumptions!$B$26))*Assumptions!$B$17+Assumptions!$B$26*(1-EXP(-(N72*Assumptions!$B$29)/Assumptions!$B$26))*Assumptions!$B$20*Assumptions!$B$35+Assumptions!$B$27*(1-EXP(-(N72*Assumptions!$B$31)/Assumptions!$B$27))*Assumptions!$B$19*Assumptions!$B$35+Assumptions!$B$26*(1-EXP(-(N72*Assumptions!$B$30)/Assumptions!$B$26))*Assumptions!$B$18)</f>
        <v>56.5278395123881</v>
      </c>
      <c r="O73" s="36" t="n">
        <f aca="false">IF(O72&lt;=0,0,Assumptions!$B$26*(1-EXP(-(O72*Assumptions!$B$28)/Assumptions!$B$26))*Assumptions!$B$17+Assumptions!$B$26*(1-EXP(-(O72*Assumptions!$B$29)/Assumptions!$B$26))*Assumptions!$B$20*Assumptions!$B$35+Assumptions!$B$27*(1-EXP(-(O72*Assumptions!$B$31)/Assumptions!$B$27))*Assumptions!$B$19*Assumptions!$B$35+Assumptions!$B$26*(1-EXP(-(O72*Assumptions!$B$30)/Assumptions!$B$26))*Assumptions!$B$18)</f>
        <v>56.4850227764513</v>
      </c>
      <c r="P73" s="36" t="n">
        <f aca="false">IF(P72&lt;=0,0,Assumptions!$B$26*(1-EXP(-(P72*Assumptions!$B$28)/Assumptions!$B$26))*Assumptions!$B$17+Assumptions!$B$26*(1-EXP(-(P72*Assumptions!$B$29)/Assumptions!$B$26))*Assumptions!$B$20*Assumptions!$B$35+Assumptions!$B$27*(1-EXP(-(P72*Assumptions!$B$31)/Assumptions!$B$27))*Assumptions!$B$19*Assumptions!$B$35+Assumptions!$B$26*(1-EXP(-(P72*Assumptions!$B$30)/Assumptions!$B$26))*Assumptions!$B$18)</f>
        <v>56.463125939245</v>
      </c>
      <c r="Q73" s="36" t="n">
        <f aca="false">IF(Q72&lt;=0,0,Assumptions!$B$26*(1-EXP(-(Q72*Assumptions!$B$28)/Assumptions!$B$26))*Assumptions!$B$17+Assumptions!$B$26*(1-EXP(-(Q72*Assumptions!$B$29)/Assumptions!$B$26))*Assumptions!$B$20*Assumptions!$B$35+Assumptions!$B$27*(1-EXP(-(Q72*Assumptions!$B$31)/Assumptions!$B$27))*Assumptions!$B$19*Assumptions!$B$35+Assumptions!$B$26*(1-EXP(-(Q72*Assumptions!$B$30)/Assumptions!$B$26))*Assumptions!$B$18)</f>
        <v>56.4545166847564</v>
      </c>
      <c r="R73" s="36" t="n">
        <f aca="false">IF(R72&lt;=0,0,Assumptions!$B$26*(1-EXP(-(R72*Assumptions!$B$28)/Assumptions!$B$26))*Assumptions!$B$17+Assumptions!$B$26*(1-EXP(-(R72*Assumptions!$B$29)/Assumptions!$B$26))*Assumptions!$B$20*Assumptions!$B$35+Assumptions!$B$27*(1-EXP(-(R72*Assumptions!$B$31)/Assumptions!$B$27))*Assumptions!$B$19*Assumptions!$B$35+Assumptions!$B$26*(1-EXP(-(R72*Assumptions!$B$30)/Assumptions!$B$26))*Assumptions!$B$18)</f>
        <v>56.4541601592235</v>
      </c>
      <c r="S73" s="36" t="n">
        <f aca="false">IF(S72&lt;=0,0,Assumptions!$B$26*(1-EXP(-(S72*Assumptions!$B$28)/Assumptions!$B$26))*Assumptions!$B$17+Assumptions!$B$26*(1-EXP(-(S72*Assumptions!$B$29)/Assumptions!$B$26))*Assumptions!$B$20*Assumptions!$B$35+Assumptions!$B$27*(1-EXP(-(S72*Assumptions!$B$31)/Assumptions!$B$27))*Assumptions!$B$19*Assumptions!$B$35+Assumptions!$B$26*(1-EXP(-(S72*Assumptions!$B$30)/Assumptions!$B$26))*Assumptions!$B$18)</f>
        <v>56.4588851196933</v>
      </c>
      <c r="T73" s="36" t="n">
        <f aca="false">IF(T72&lt;=0,0,Assumptions!$B$26*(1-EXP(-(T72*Assumptions!$B$28)/Assumptions!$B$26))*Assumptions!$B$17+Assumptions!$B$26*(1-EXP(-(T72*Assumptions!$B$29)/Assumptions!$B$26))*Assumptions!$B$20*Assumptions!$B$35+Assumptions!$B$27*(1-EXP(-(T72*Assumptions!$B$31)/Assumptions!$B$27))*Assumptions!$B$19*Assumptions!$B$35+Assumptions!$B$26*(1-EXP(-(T72*Assumptions!$B$30)/Assumptions!$B$26))*Assumptions!$B$18)</f>
        <v>56.4665479413008</v>
      </c>
      <c r="U73" s="36" t="n">
        <f aca="false">IF(U72&lt;=0,0,Assumptions!$B$26*(1-EXP(-(U72*Assumptions!$B$28)/Assumptions!$B$26))*Assumptions!$B$17+Assumptions!$B$26*(1-EXP(-(U72*Assumptions!$B$29)/Assumptions!$B$26))*Assumptions!$B$20*Assumptions!$B$35+Assumptions!$B$27*(1-EXP(-(U72*Assumptions!$B$31)/Assumptions!$B$27))*Assumptions!$B$19*Assumptions!$B$35+Assumptions!$B$26*(1-EXP(-(U72*Assumptions!$B$30)/Assumptions!$B$26))*Assumptions!$B$18)</f>
        <v>56.4758983708086</v>
      </c>
      <c r="V73" s="36" t="n">
        <f aca="false">IF(V72&lt;=0,0,Assumptions!$B$26*(1-EXP(-(V72*Assumptions!$B$28)/Assumptions!$B$26))*Assumptions!$B$17+Assumptions!$B$26*(1-EXP(-(V72*Assumptions!$B$29)/Assumptions!$B$26))*Assumptions!$B$20*Assumptions!$B$35+Assumptions!$B$27*(1-EXP(-(V72*Assumptions!$B$31)/Assumptions!$B$27))*Assumptions!$B$19*Assumptions!$B$35+Assumptions!$B$26*(1-EXP(-(V72*Assumptions!$B$30)/Assumptions!$B$26))*Assumptions!$B$18)</f>
        <v>56.4861439962146</v>
      </c>
      <c r="W73" s="36" t="n">
        <f aca="false">IF(W72&lt;=0,0,Assumptions!$B$26*(1-EXP(-(W72*Assumptions!$B$28)/Assumptions!$B$26))*Assumptions!$B$17+Assumptions!$B$26*(1-EXP(-(W72*Assumptions!$B$29)/Assumptions!$B$26))*Assumptions!$B$20*Assumptions!$B$35+Assumptions!$B$27*(1-EXP(-(W72*Assumptions!$B$31)/Assumptions!$B$27))*Assumptions!$B$19*Assumptions!$B$35+Assumptions!$B$26*(1-EXP(-(W72*Assumptions!$B$30)/Assumptions!$B$26))*Assumptions!$B$18)</f>
        <v>56.4967839587718</v>
      </c>
      <c r="X73" s="36" t="n">
        <f aca="false">IF(X72&lt;=0,0,Assumptions!$B$26*(1-EXP(-(X72*Assumptions!$B$28)/Assumptions!$B$26))*Assumptions!$B$17+Assumptions!$B$26*(1-EXP(-(X72*Assumptions!$B$29)/Assumptions!$B$26))*Assumptions!$B$20*Assumptions!$B$35+Assumptions!$B$27*(1-EXP(-(X72*Assumptions!$B$31)/Assumptions!$B$27))*Assumptions!$B$19*Assumptions!$B$35+Assumptions!$B$26*(1-EXP(-(X72*Assumptions!$B$30)/Assumptions!$B$26))*Assumptions!$B$18)</f>
        <v>56.507418884005</v>
      </c>
      <c r="Y73" s="36" t="n">
        <f aca="false">IF(Y72&lt;=0,0,Assumptions!$B$26*(1-EXP(-(Y72*Assumptions!$B$28)/Assumptions!$B$26))*Assumptions!$B$17+Assumptions!$B$26*(1-EXP(-(Y72*Assumptions!$B$29)/Assumptions!$B$26))*Assumptions!$B$20*Assumptions!$B$35+Assumptions!$B$27*(1-EXP(-(Y72*Assumptions!$B$31)/Assumptions!$B$27))*Assumptions!$B$19*Assumptions!$B$35+Assumptions!$B$26*(1-EXP(-(Y72*Assumptions!$B$30)/Assumptions!$B$26))*Assumptions!$B$18)</f>
        <v>56.5178748637995</v>
      </c>
      <c r="Z73" s="36" t="n">
        <f aca="false">IF(Z72&lt;=0,0,Assumptions!$B$26*(1-EXP(-(Z72*Assumptions!$B$28)/Assumptions!$B$26))*Assumptions!$B$17+Assumptions!$B$26*(1-EXP(-(Z72*Assumptions!$B$29)/Assumptions!$B$26))*Assumptions!$B$20*Assumptions!$B$35+Assumptions!$B$27*(1-EXP(-(Z72*Assumptions!$B$31)/Assumptions!$B$27))*Assumptions!$B$19*Assumptions!$B$35+Assumptions!$B$26*(1-EXP(-(Z72*Assumptions!$B$30)/Assumptions!$B$26))*Assumptions!$B$18)</f>
        <v>56.4645247799951</v>
      </c>
      <c r="AA73" s="36" t="n">
        <f aca="false">IF(AA72&lt;=0,0,Assumptions!$B$26*(1-EXP(-(AA72*Assumptions!$B$28)/Assumptions!$B$26))*Assumptions!$B$17+Assumptions!$B$26*(1-EXP(-(AA72*Assumptions!$B$29)/Assumptions!$B$26))*Assumptions!$B$20*Assumptions!$B$35+Assumptions!$B$27*(1-EXP(-(AA72*Assumptions!$B$31)/Assumptions!$B$27))*Assumptions!$B$19*Assumptions!$B$35+Assumptions!$B$26*(1-EXP(-(AA72*Assumptions!$B$30)/Assumptions!$B$26))*Assumptions!$B$18)</f>
        <v>56.4174271359283</v>
      </c>
      <c r="AB73" s="36" t="n">
        <f aca="false">IF(AB72&lt;=0,0,Assumptions!$B$26*(1-EXP(-(AB72*Assumptions!$B$28)/Assumptions!$B$26))*Assumptions!$B$17+Assumptions!$B$26*(1-EXP(-(AB72*Assumptions!$B$29)/Assumptions!$B$26))*Assumptions!$B$20*Assumptions!$B$35+Assumptions!$B$27*(1-EXP(-(AB72*Assumptions!$B$31)/Assumptions!$B$27))*Assumptions!$B$19*Assumptions!$B$35+Assumptions!$B$26*(1-EXP(-(AB72*Assumptions!$B$30)/Assumptions!$B$26))*Assumptions!$B$18)</f>
        <v>56.3758853666451</v>
      </c>
      <c r="AC73" s="36" t="n">
        <f aca="false">IF(AC72&lt;=0,0,Assumptions!$B$26*(1-EXP(-(AC72*Assumptions!$B$28)/Assumptions!$B$26))*Assumptions!$B$17+Assumptions!$B$26*(1-EXP(-(AC72*Assumptions!$B$29)/Assumptions!$B$26))*Assumptions!$B$20*Assumptions!$B$35+Assumptions!$B$27*(1-EXP(-(AC72*Assumptions!$B$31)/Assumptions!$B$27))*Assumptions!$B$19*Assumptions!$B$35+Assumptions!$B$26*(1-EXP(-(AC72*Assumptions!$B$30)/Assumptions!$B$26))*Assumptions!$B$18)</f>
        <v>56.33924233734</v>
      </c>
      <c r="AD73" s="36" t="n">
        <f aca="false">IF(AD72&lt;=0,0,Assumptions!$B$26*(1-EXP(-(AD72*Assumptions!$B$28)/Assumptions!$B$26))*Assumptions!$B$17+Assumptions!$B$26*(1-EXP(-(AD72*Assumptions!$B$29)/Assumptions!$B$26))*Assumptions!$B$20*Assumptions!$B$35+Assumptions!$B$27*(1-EXP(-(AD72*Assumptions!$B$31)/Assumptions!$B$27))*Assumptions!$B$19*Assumptions!$B$35+Assumptions!$B$26*(1-EXP(-(AD72*Assumptions!$B$30)/Assumptions!$B$26))*Assumptions!$B$18)</f>
        <v>56.3068945627236</v>
      </c>
      <c r="AE73" s="36" t="n">
        <f aca="false">IF(AE72&lt;=0,0,Assumptions!$B$26*(1-EXP(-(AE72*Assumptions!$B$28)/Assumptions!$B$26))*Assumptions!$B$17+Assumptions!$B$26*(1-EXP(-(AE72*Assumptions!$B$29)/Assumptions!$B$26))*Assumptions!$B$20*Assumptions!$B$35+Assumptions!$B$27*(1-EXP(-(AE72*Assumptions!$B$31)/Assumptions!$B$27))*Assumptions!$B$19*Assumptions!$B$35+Assumptions!$B$26*(1-EXP(-(AE72*Assumptions!$B$30)/Assumptions!$B$26))*Assumptions!$B$18)</f>
        <v>56.2783199103629</v>
      </c>
      <c r="AF73" s="36" t="n">
        <f aca="false">IF(AF72&lt;=0,0,Assumptions!$B$26*(1-EXP(-(AF72*Assumptions!$B$28)/Assumptions!$B$26))*Assumptions!$B$17+Assumptions!$B$26*(1-EXP(-(AF72*Assumptions!$B$29)/Assumptions!$B$26))*Assumptions!$B$20*Assumptions!$B$35+Assumptions!$B$27*(1-EXP(-(AF72*Assumptions!$B$31)/Assumptions!$B$27))*Assumptions!$B$19*Assumptions!$B$35+Assumptions!$B$26*(1-EXP(-(AF72*Assumptions!$B$30)/Assumptions!$B$26))*Assumptions!$B$18)</f>
        <v>56.2530312911673</v>
      </c>
      <c r="AG73" s="36" t="n">
        <f aca="false">IF(AG72&lt;=0,0,Assumptions!$B$26*(1-EXP(-(AG72*Assumptions!$B$28)/Assumptions!$B$26))*Assumptions!$B$17+Assumptions!$B$26*(1-EXP(-(AG72*Assumptions!$B$29)/Assumptions!$B$26))*Assumptions!$B$20*Assumptions!$B$35+Assumptions!$B$27*(1-EXP(-(AG72*Assumptions!$B$31)/Assumptions!$B$27))*Assumptions!$B$19*Assumptions!$B$35+Assumptions!$B$26*(1-EXP(-(AG72*Assumptions!$B$30)/Assumptions!$B$26))*Assumptions!$B$18)</f>
        <v>56.2306351489785</v>
      </c>
      <c r="AH73" s="36" t="n">
        <f aca="false">IF(AH72&lt;=0,0,Assumptions!$B$26*(1-EXP(-(AH72*Assumptions!$B$28)/Assumptions!$B$26))*Assumptions!$B$17+Assumptions!$B$26*(1-EXP(-(AH72*Assumptions!$B$29)/Assumptions!$B$26))*Assumptions!$B$20*Assumptions!$B$35+Assumptions!$B$27*(1-EXP(-(AH72*Assumptions!$B$31)/Assumptions!$B$27))*Assumptions!$B$19*Assumptions!$B$35+Assumptions!$B$26*(1-EXP(-(AH72*Assumptions!$B$30)/Assumptions!$B$26))*Assumptions!$B$18)</f>
        <v>56.2107910206574</v>
      </c>
      <c r="AI73" s="36" t="n">
        <f aca="false">IF(AI72&lt;=0,0,Assumptions!$B$26*(1-EXP(-(AI72*Assumptions!$B$28)/Assumptions!$B$26))*Assumptions!$B$17+Assumptions!$B$26*(1-EXP(-(AI72*Assumptions!$B$29)/Assumptions!$B$26))*Assumptions!$B$20*Assumptions!$B$35+Assumptions!$B$27*(1-EXP(-(AI72*Assumptions!$B$31)/Assumptions!$B$27))*Assumptions!$B$19*Assumptions!$B$35+Assumptions!$B$26*(1-EXP(-(AI72*Assumptions!$B$30)/Assumptions!$B$26))*Assumptions!$B$18)</f>
        <v>56.1932044791038</v>
      </c>
      <c r="AJ73" s="36" t="n">
        <f aca="false">IF(AJ72&lt;=0,0,Assumptions!$B$26*(1-EXP(-(AJ72*Assumptions!$B$28)/Assumptions!$B$26))*Assumptions!$B$17+Assumptions!$B$26*(1-EXP(-(AJ72*Assumptions!$B$29)/Assumptions!$B$26))*Assumptions!$B$20*Assumptions!$B$35+Assumptions!$B$27*(1-EXP(-(AJ72*Assumptions!$B$31)/Assumptions!$B$27))*Assumptions!$B$19*Assumptions!$B$35+Assumptions!$B$26*(1-EXP(-(AJ72*Assumptions!$B$30)/Assumptions!$B$26))*Assumptions!$B$18)</f>
        <v>56.1775935323603</v>
      </c>
      <c r="AK73" s="36" t="n">
        <f aca="false">IF(AK72&lt;=0,0,Assumptions!$B$26*(1-EXP(-(AK72*Assumptions!$B$28)/Assumptions!$B$26))*Assumptions!$B$17+Assumptions!$B$26*(1-EXP(-(AK72*Assumptions!$B$29)/Assumptions!$B$26))*Assumptions!$B$20*Assumptions!$B$35+Assumptions!$B$27*(1-EXP(-(AK72*Assumptions!$B$31)/Assumptions!$B$27))*Assumptions!$B$19*Assumptions!$B$35+Assumptions!$B$26*(1-EXP(-(AK72*Assumptions!$B$30)/Assumptions!$B$26))*Assumptions!$B$18)</f>
        <v>56.1637396043437</v>
      </c>
    </row>
    <row r="74" customFormat="false" ht="15" hidden="false" customHeight="false" outlineLevel="0" collapsed="false">
      <c r="A74" s="4" t="s">
        <v>194</v>
      </c>
      <c r="B74" s="11" t="n">
        <f aca="false">B69*B73</f>
        <v>50.1026643888313</v>
      </c>
      <c r="C74" s="11" t="n">
        <f aca="false">C69*C73</f>
        <v>102.178802617768</v>
      </c>
      <c r="D74" s="11" t="n">
        <f aca="false">D69*D73</f>
        <v>156.836821046544</v>
      </c>
      <c r="E74" s="11" t="n">
        <f aca="false">E69*E73</f>
        <v>212.871242404181</v>
      </c>
      <c r="F74" s="11" t="n">
        <f aca="false">F69*F73</f>
        <v>270.119612719553</v>
      </c>
      <c r="G74" s="11" t="n">
        <f aca="false">G69*G73</f>
        <v>327.866381470726</v>
      </c>
      <c r="H74" s="11" t="n">
        <f aca="false">H69*H73</f>
        <v>386.567114703567</v>
      </c>
      <c r="I74" s="11" t="n">
        <f aca="false">I69*I73</f>
        <v>445.364597614423</v>
      </c>
      <c r="J74" s="11" t="n">
        <f aca="false">J69*J73</f>
        <v>504.045854895234</v>
      </c>
      <c r="K74" s="11" t="n">
        <f aca="false">K69*K73</f>
        <v>562.498918247706</v>
      </c>
      <c r="L74" s="11" t="n">
        <f aca="false">L69*L73</f>
        <v>620.940832112117</v>
      </c>
      <c r="M74" s="11" t="n">
        <f aca="false">M69*M73</f>
        <v>679.230046165873</v>
      </c>
      <c r="N74" s="11" t="n">
        <f aca="false">N69*N73</f>
        <v>833.785632807725</v>
      </c>
      <c r="O74" s="11" t="n">
        <f aca="false">O69*O73</f>
        <v>988.487898587898</v>
      </c>
      <c r="P74" s="11" t="n">
        <f aca="false">P69*P73</f>
        <v>1143.37830026971</v>
      </c>
      <c r="Q74" s="11" t="n">
        <f aca="false">Q69*Q73</f>
        <v>1298.4538837494</v>
      </c>
      <c r="R74" s="11" t="n">
        <f aca="false">R69*R73</f>
        <v>1453.69462410001</v>
      </c>
      <c r="S74" s="11" t="n">
        <f aca="false">S69*S73</f>
        <v>1609.07822591126</v>
      </c>
      <c r="T74" s="11" t="n">
        <f aca="false">T69*T73</f>
        <v>1764.57962316565</v>
      </c>
      <c r="U74" s="11" t="n">
        <f aca="false">U69*U73</f>
        <v>1920.18054460749</v>
      </c>
      <c r="V74" s="11" t="n">
        <f aca="false">V69*V73</f>
        <v>2075.86579186089</v>
      </c>
      <c r="W74" s="11" t="n">
        <f aca="false">W69*W73</f>
        <v>2231.62296637149</v>
      </c>
      <c r="X74" s="11" t="n">
        <f aca="false">X69*X73</f>
        <v>2387.43844784921</v>
      </c>
      <c r="Y74" s="11" t="n">
        <f aca="false">Y69*Y73</f>
        <v>2543.30436887098</v>
      </c>
      <c r="Z74" s="11" t="n">
        <f aca="false">Z69*Z73</f>
        <v>2799.69935367476</v>
      </c>
      <c r="AA74" s="11" t="n">
        <f aca="false">AA69*AA73</f>
        <v>3055.94396986278</v>
      </c>
      <c r="AB74" s="11" t="n">
        <f aca="false">AB69*AB73</f>
        <v>3312.0832652904</v>
      </c>
      <c r="AC74" s="11" t="n">
        <f aca="false">AC69*AC73</f>
        <v>3568.1520146982</v>
      </c>
      <c r="AD74" s="11" t="n">
        <f aca="false">AD69*AD73</f>
        <v>3824.17658905164</v>
      </c>
      <c r="AE74" s="11" t="n">
        <f aca="false">AE69*AE73</f>
        <v>4080.17819350131</v>
      </c>
      <c r="AF74" s="11" t="n">
        <f aca="false">AF69*AF73</f>
        <v>4336.17116202748</v>
      </c>
      <c r="AG74" s="11" t="n">
        <f aca="false">AG69*AG73</f>
        <v>4592.16853716658</v>
      </c>
      <c r="AH74" s="11" t="n">
        <f aca="false">AH69*AH73</f>
        <v>4848.1807255317</v>
      </c>
      <c r="AI74" s="11" t="n">
        <f aca="false">AI69*AI73</f>
        <v>5104.2160735186</v>
      </c>
      <c r="AJ74" s="11" t="n">
        <f aca="false">AJ69*AJ73</f>
        <v>5360.27871621271</v>
      </c>
      <c r="AK74" s="11" t="n">
        <f aca="false">AK69*AK73</f>
        <v>5616.37396043437</v>
      </c>
    </row>
    <row r="75" customFormat="false" ht="15" hidden="false" customHeight="false" outlineLevel="0" collapsed="false">
      <c r="A75" s="4" t="s">
        <v>195</v>
      </c>
      <c r="B75" s="11" t="n">
        <f aca="false">B71*(Assumptions!$B$32*Assumptions!$B$23+Assumptions!$B$33*Assumptions!$B$21+Assumptions!$B$34*Assumptions!$B$22)</f>
        <v>6.36</v>
      </c>
      <c r="C75" s="11" t="n">
        <f aca="false">C71*(Assumptions!$B$32*Assumptions!$B$23+Assumptions!$B$33*Assumptions!$B$21+Assumptions!$B$34*Assumptions!$B$22)</f>
        <v>14.6784</v>
      </c>
      <c r="D75" s="11" t="n">
        <f aca="false">D71*(Assumptions!$B$32*Assumptions!$B$23+Assumptions!$B$33*Assumptions!$B$21+Assumptions!$B$34*Assumptions!$B$22)</f>
        <v>26.658992</v>
      </c>
      <c r="E75" s="11" t="n">
        <f aca="false">E71*(Assumptions!$B$32*Assumptions!$B$23+Assumptions!$B$33*Assumptions!$B$21+Assumptions!$B$34*Assumptions!$B$22)</f>
        <v>41.95823296</v>
      </c>
      <c r="F75" s="11" t="n">
        <f aca="false">F71*(Assumptions!$B$32*Assumptions!$B$23+Assumptions!$B$33*Assumptions!$B$21+Assumptions!$B$34*Assumptions!$B$22)</f>
        <v>61.2754050048</v>
      </c>
      <c r="G75" s="11" t="n">
        <f aca="false">G71*(Assumptions!$B$32*Assumptions!$B$23+Assumptions!$B$33*Assumptions!$B$21+Assumptions!$B$34*Assumptions!$B$22)</f>
        <v>83.904328404224</v>
      </c>
      <c r="H75" s="11" t="n">
        <f aca="false">H71*(Assumptions!$B$32*Assumptions!$B$23+Assumptions!$B$33*Assumptions!$B$21+Assumptions!$B$34*Assumptions!$B$22)</f>
        <v>112.456281595717</v>
      </c>
      <c r="I75" s="11" t="n">
        <f aca="false">I71*(Assumptions!$B$32*Assumptions!$B$23+Assumptions!$B$33*Assumptions!$B$21+Assumptions!$B$34*Assumptions!$B$22)</f>
        <v>145.461983334231</v>
      </c>
      <c r="J75" s="11" t="n">
        <f aca="false">J71*(Assumptions!$B$32*Assumptions!$B$23+Assumptions!$B$33*Assumptions!$B$21+Assumptions!$B$34*Assumptions!$B$22)</f>
        <v>182.481890535623</v>
      </c>
      <c r="K75" s="11" t="n">
        <f aca="false">K71*(Assumptions!$B$32*Assumptions!$B$23+Assumptions!$B$33*Assumptions!$B$21+Assumptions!$B$34*Assumptions!$B$22)</f>
        <v>222.823582771174</v>
      </c>
      <c r="L75" s="11" t="n">
        <f aca="false">L71*(Assumptions!$B$32*Assumptions!$B$23+Assumptions!$B$33*Assumptions!$B$21+Assumptions!$B$34*Assumptions!$B$22)</f>
        <v>268.709488110186</v>
      </c>
      <c r="M75" s="11" t="n">
        <f aca="false">M71*(Assumptions!$B$32*Assumptions!$B$23+Assumptions!$B$33*Assumptions!$B$21+Assumptions!$B$34*Assumptions!$B$22)</f>
        <v>319.499392946316</v>
      </c>
      <c r="N75" s="11" t="n">
        <f aca="false">N71*(Assumptions!$B$32*Assumptions!$B$23+Assumptions!$B$33*Assumptions!$B$21+Assumptions!$B$34*Assumptions!$B$22)</f>
        <v>375.771160152744</v>
      </c>
      <c r="O75" s="11" t="n">
        <f aca="false">O71*(Assumptions!$B$32*Assumptions!$B$23+Assumptions!$B$33*Assumptions!$B$21+Assumptions!$B$34*Assumptions!$B$22)</f>
        <v>435.537998273281</v>
      </c>
      <c r="P75" s="11" t="n">
        <f aca="false">P71*(Assumptions!$B$32*Assumptions!$B$23+Assumptions!$B$33*Assumptions!$B$21+Assumptions!$B$34*Assumptions!$B$22)</f>
        <v>498.227601309915</v>
      </c>
      <c r="Q75" s="11" t="n">
        <f aca="false">Q71*(Assumptions!$B$32*Assumptions!$B$23+Assumptions!$B$33*Assumptions!$B$21+Assumptions!$B$34*Assumptions!$B$22)</f>
        <v>563.384870726685</v>
      </c>
      <c r="R75" s="11" t="n">
        <f aca="false">R71*(Assumptions!$B$32*Assumptions!$B$23+Assumptions!$B$33*Assumptions!$B$21+Assumptions!$B$34*Assumptions!$B$22)</f>
        <v>630.630906443548</v>
      </c>
      <c r="S75" s="11" t="n">
        <f aca="false">S71*(Assumptions!$B$32*Assumptions!$B$23+Assumptions!$B$33*Assumptions!$B$21+Assumptions!$B$34*Assumptions!$B$22)</f>
        <v>699.675715871226</v>
      </c>
      <c r="T75" s="11" t="n">
        <f aca="false">T71*(Assumptions!$B$32*Assumptions!$B$23+Assumptions!$B$33*Assumptions!$B$21+Assumptions!$B$34*Assumptions!$B$22)</f>
        <v>770.235299903172</v>
      </c>
      <c r="U75" s="11" t="n">
        <f aca="false">U71*(Assumptions!$B$32*Assumptions!$B$23+Assumptions!$B$33*Assumptions!$B$21+Assumptions!$B$34*Assumptions!$B$22)</f>
        <v>842.119742710966</v>
      </c>
      <c r="V75" s="11" t="n">
        <f aca="false">V71*(Assumptions!$B$32*Assumptions!$B$23+Assumptions!$B$33*Assumptions!$B$21+Assumptions!$B$34*Assumptions!$B$22)</f>
        <v>915.174966567222</v>
      </c>
      <c r="W75" s="11" t="n">
        <f aca="false">W71*(Assumptions!$B$32*Assumptions!$B$23+Assumptions!$B$33*Assumptions!$B$21+Assumptions!$B$34*Assumptions!$B$22)</f>
        <v>989.275720451814</v>
      </c>
      <c r="X75" s="11" t="n">
        <f aca="false">X71*(Assumptions!$B$32*Assumptions!$B$23+Assumptions!$B$33*Assumptions!$B$21+Assumptions!$B$34*Assumptions!$B$22)</f>
        <v>1064.27045724875</v>
      </c>
      <c r="Y75" s="11" t="n">
        <f aca="false">Y71*(Assumptions!$B$32*Assumptions!$B$23+Assumptions!$B$33*Assumptions!$B$21+Assumptions!$B$34*Assumptions!$B$22)</f>
        <v>1140.07582320521</v>
      </c>
      <c r="Z75" s="11" t="n">
        <f aca="false">Z71*(Assumptions!$B$32*Assumptions!$B$23+Assumptions!$B$33*Assumptions!$B$21+Assumptions!$B$34*Assumptions!$B$22)</f>
        <v>1220.82419229555</v>
      </c>
      <c r="AA75" s="11" t="n">
        <f aca="false">AA71*(Assumptions!$B$32*Assumptions!$B$23+Assumptions!$B$33*Assumptions!$B$21+Assumptions!$B$34*Assumptions!$B$22)</f>
        <v>1302.33750777282</v>
      </c>
      <c r="AB75" s="11" t="n">
        <f aca="false">AB71*(Assumptions!$B$32*Assumptions!$B$23+Assumptions!$B$33*Assumptions!$B$21+Assumptions!$B$34*Assumptions!$B$22)</f>
        <v>1384.56450038145</v>
      </c>
      <c r="AC75" s="11" t="n">
        <f aca="false">AC71*(Assumptions!$B$32*Assumptions!$B$23+Assumptions!$B$33*Assumptions!$B$21+Assumptions!$B$34*Assumptions!$B$22)</f>
        <v>1467.46577994498</v>
      </c>
      <c r="AD75" s="11" t="n">
        <f aca="false">AD71*(Assumptions!$B$32*Assumptions!$B$23+Assumptions!$B$33*Assumptions!$B$21+Assumptions!$B$34*Assumptions!$B$22)</f>
        <v>1551.00347500993</v>
      </c>
      <c r="AE75" s="11" t="n">
        <f aca="false">AE71*(Assumptions!$B$32*Assumptions!$B$23+Assumptions!$B$33*Assumptions!$B$21+Assumptions!$B$34*Assumptions!$B$22)</f>
        <v>1635.15343616401</v>
      </c>
      <c r="AF75" s="11" t="n">
        <f aca="false">AF71*(Assumptions!$B$32*Assumptions!$B$23+Assumptions!$B$33*Assumptions!$B$21+Assumptions!$B$34*Assumptions!$B$22)</f>
        <v>1719.87312037908</v>
      </c>
      <c r="AG75" s="11" t="n">
        <f aca="false">AG71*(Assumptions!$B$32*Assumptions!$B$23+Assumptions!$B$33*Assumptions!$B$21+Assumptions!$B$34*Assumptions!$B$22)</f>
        <v>1805.14539525181</v>
      </c>
      <c r="AH75" s="11" t="n">
        <f aca="false">AH71*(Assumptions!$B$32*Assumptions!$B$23+Assumptions!$B$33*Assumptions!$B$21+Assumptions!$B$34*Assumptions!$B$22)</f>
        <v>1890.95566623314</v>
      </c>
      <c r="AI75" s="11" t="n">
        <f aca="false">AI71*(Assumptions!$B$32*Assumptions!$B$23+Assumptions!$B$33*Assumptions!$B$21+Assumptions!$B$34*Assumptions!$B$22)</f>
        <v>1977.29139731348</v>
      </c>
      <c r="AJ75" s="11" t="n">
        <f aca="false">AJ71*(Assumptions!$B$32*Assumptions!$B$23+Assumptions!$B$33*Assumptions!$B$21+Assumptions!$B$34*Assumptions!$B$22)</f>
        <v>2064.11945153142</v>
      </c>
      <c r="AK75" s="11" t="n">
        <f aca="false">AK71*(Assumptions!$B$32*Assumptions!$B$23+Assumptions!$B$33*Assumptions!$B$21+Assumptions!$B$34*Assumptions!$B$22)</f>
        <v>2151.43033239561</v>
      </c>
    </row>
    <row r="76" customFormat="false" ht="15" hidden="false" customHeight="false" outlineLevel="0" collapsed="false">
      <c r="A76" s="4" t="s">
        <v>196</v>
      </c>
      <c r="B76" s="11" t="n">
        <f aca="false">B70*Assumptions!$B$25*Assumptions!$B$19</f>
        <v>0.7</v>
      </c>
      <c r="C76" s="11" t="n">
        <f aca="false">C70*Assumptions!$B$25*Assumptions!$B$19</f>
        <v>0.7</v>
      </c>
      <c r="D76" s="11" t="n">
        <f aca="false">D70*Assumptions!$B$25*Assumptions!$B$19</f>
        <v>0.7</v>
      </c>
      <c r="E76" s="11" t="n">
        <f aca="false">E70*Assumptions!$B$25*Assumptions!$B$19</f>
        <v>0.7</v>
      </c>
      <c r="F76" s="11" t="n">
        <f aca="false">F70*Assumptions!$B$25*Assumptions!$B$19</f>
        <v>0.7</v>
      </c>
      <c r="G76" s="11" t="n">
        <f aca="false">G70*Assumptions!$B$25*Assumptions!$B$19</f>
        <v>0.7</v>
      </c>
      <c r="H76" s="11" t="n">
        <f aca="false">H70*Assumptions!$B$25*Assumptions!$B$19</f>
        <v>0.7</v>
      </c>
      <c r="I76" s="11" t="n">
        <f aca="false">I70*Assumptions!$B$25*Assumptions!$B$19</f>
        <v>0.7</v>
      </c>
      <c r="J76" s="11" t="n">
        <f aca="false">J70*Assumptions!$B$25*Assumptions!$B$19</f>
        <v>0.7</v>
      </c>
      <c r="K76" s="11" t="n">
        <f aca="false">K70*Assumptions!$B$25*Assumptions!$B$19</f>
        <v>0.7</v>
      </c>
      <c r="L76" s="11" t="n">
        <f aca="false">L70*Assumptions!$B$25*Assumptions!$B$19</f>
        <v>0.7</v>
      </c>
      <c r="M76" s="11" t="n">
        <f aca="false">M70*Assumptions!$B$25*Assumptions!$B$19</f>
        <v>0.7</v>
      </c>
      <c r="N76" s="11" t="n">
        <f aca="false">N70*Assumptions!$B$25*Assumptions!$B$19</f>
        <v>1.925</v>
      </c>
      <c r="O76" s="11" t="n">
        <f aca="false">O70*Assumptions!$B$25*Assumptions!$B$19</f>
        <v>1.925</v>
      </c>
      <c r="P76" s="11" t="n">
        <f aca="false">P70*Assumptions!$B$25*Assumptions!$B$19</f>
        <v>1.925</v>
      </c>
      <c r="Q76" s="11" t="n">
        <f aca="false">Q70*Assumptions!$B$25*Assumptions!$B$19</f>
        <v>1.925</v>
      </c>
      <c r="R76" s="11" t="n">
        <f aca="false">R70*Assumptions!$B$25*Assumptions!$B$19</f>
        <v>1.925</v>
      </c>
      <c r="S76" s="11" t="n">
        <f aca="false">S70*Assumptions!$B$25*Assumptions!$B$19</f>
        <v>1.925</v>
      </c>
      <c r="T76" s="11" t="n">
        <f aca="false">T70*Assumptions!$B$25*Assumptions!$B$19</f>
        <v>1.925</v>
      </c>
      <c r="U76" s="11" t="n">
        <f aca="false">U70*Assumptions!$B$25*Assumptions!$B$19</f>
        <v>1.925</v>
      </c>
      <c r="V76" s="11" t="n">
        <f aca="false">V70*Assumptions!$B$25*Assumptions!$B$19</f>
        <v>1.925</v>
      </c>
      <c r="W76" s="11" t="n">
        <f aca="false">W70*Assumptions!$B$25*Assumptions!$B$19</f>
        <v>1.925</v>
      </c>
      <c r="X76" s="11" t="n">
        <f aca="false">X70*Assumptions!$B$25*Assumptions!$B$19</f>
        <v>1.925</v>
      </c>
      <c r="Y76" s="11" t="n">
        <f aca="false">Y70*Assumptions!$B$25*Assumptions!$B$19</f>
        <v>1.925</v>
      </c>
      <c r="Z76" s="11" t="n">
        <f aca="false">Z70*Assumptions!$B$25*Assumptions!$B$19</f>
        <v>3.20833333333334</v>
      </c>
      <c r="AA76" s="11" t="n">
        <f aca="false">AA70*Assumptions!$B$25*Assumptions!$B$19</f>
        <v>3.20833333333333</v>
      </c>
      <c r="AB76" s="11" t="n">
        <f aca="false">AB70*Assumptions!$B$25*Assumptions!$B$19</f>
        <v>3.20833333333334</v>
      </c>
      <c r="AC76" s="11" t="n">
        <f aca="false">AC70*Assumptions!$B$25*Assumptions!$B$19</f>
        <v>3.20833333333333</v>
      </c>
      <c r="AD76" s="11" t="n">
        <f aca="false">AD70*Assumptions!$B$25*Assumptions!$B$19</f>
        <v>3.20833333333334</v>
      </c>
      <c r="AE76" s="11" t="n">
        <f aca="false">AE70*Assumptions!$B$25*Assumptions!$B$19</f>
        <v>3.20833333333333</v>
      </c>
      <c r="AF76" s="11" t="n">
        <f aca="false">AF70*Assumptions!$B$25*Assumptions!$B$19</f>
        <v>3.20833333333334</v>
      </c>
      <c r="AG76" s="11" t="n">
        <f aca="false">AG70*Assumptions!$B$25*Assumptions!$B$19</f>
        <v>3.20833333333332</v>
      </c>
      <c r="AH76" s="11" t="n">
        <f aca="false">AH70*Assumptions!$B$25*Assumptions!$B$19</f>
        <v>3.20833333333334</v>
      </c>
      <c r="AI76" s="11" t="n">
        <f aca="false">AI70*Assumptions!$B$25*Assumptions!$B$19</f>
        <v>3.20833333333334</v>
      </c>
      <c r="AJ76" s="11" t="n">
        <f aca="false">AJ70*Assumptions!$B$25*Assumptions!$B$19</f>
        <v>3.20833333333332</v>
      </c>
      <c r="AK76" s="11" t="n">
        <f aca="false">AK70*Assumptions!$B$25*Assumptions!$B$19</f>
        <v>3.20833333333334</v>
      </c>
    </row>
    <row r="77" customFormat="false" ht="15" hidden="false" customHeight="false" outlineLevel="0" collapsed="false">
      <c r="A77" s="4" t="s">
        <v>197</v>
      </c>
      <c r="B77" s="36" t="n">
        <f aca="false">IF(B71&lt;=0,0,(B74+B75+B76)/B71)</f>
        <v>1.79756806254186</v>
      </c>
      <c r="C77" s="36" t="n">
        <f aca="false">IF(C71&lt;=0,0,(C74+C75+C76)/C71)</f>
        <v>1.60177134589284</v>
      </c>
      <c r="D77" s="36" t="n">
        <f aca="false">IF(D71&lt;=0,0,(D74+D75+D76)/D71)</f>
        <v>1.38186629896992</v>
      </c>
      <c r="E77" s="36" t="n">
        <f aca="false">IF(E71&lt;=0,0,(E74+E75+E76)/E71)</f>
        <v>1.21801828789017</v>
      </c>
      <c r="F77" s="36" t="n">
        <f aca="false">IF(F71&lt;=0,0,(F74+F75+F76)/F71)</f>
        <v>1.08394230180392</v>
      </c>
      <c r="G77" s="36" t="n">
        <f aca="false">IF(G71&lt;=0,0,(G74+G75+G76)/G71)</f>
        <v>0.983192923940227</v>
      </c>
      <c r="H77" s="36" t="n">
        <f aca="false">IF(H71&lt;=0,0,(H74+H75+H76)/H71)</f>
        <v>0.888742521464122</v>
      </c>
      <c r="I77" s="36" t="n">
        <f aca="false">IF(I71&lt;=0,0,(I74+I75+I76)/I71)</f>
        <v>0.813307459983535</v>
      </c>
      <c r="J77" s="36" t="n">
        <f aca="false">IF(J71&lt;=0,0,(J74+J75+J76)/J71)</f>
        <v>0.753201036457587</v>
      </c>
      <c r="K77" s="36" t="n">
        <f aca="false">IF(K71&lt;=0,0,(K74+K75+K76)/K71)</f>
        <v>0.705511051607206</v>
      </c>
      <c r="L77" s="36" t="n">
        <f aca="false">IF(L71&lt;=0,0,(L74+L75+L76)/L71)</f>
        <v>0.662686179400713</v>
      </c>
      <c r="M77" s="36" t="n">
        <f aca="false">IF(M71&lt;=0,0,(M74+M75+M76)/M71)</f>
        <v>0.625622120840848</v>
      </c>
      <c r="N77" s="36" t="n">
        <f aca="false">IF(N71&lt;=0,0,(N74+N75+N76)/N71)</f>
        <v>0.64479764358075</v>
      </c>
      <c r="O77" s="36" t="n">
        <f aca="false">IF(O71&lt;=0,0,(O74+O75+O76)/O71)</f>
        <v>0.654799766043126</v>
      </c>
      <c r="P77" s="36" t="n">
        <f aca="false">IF(P71&lt;=0,0,(P74+P75+P76)/P71)</f>
        <v>0.659751044405624</v>
      </c>
      <c r="Q77" s="36" t="n">
        <f aca="false">IF(Q71&lt;=0,0,(Q74+Q75+Q76)/Q71)</f>
        <v>0.661630743499411</v>
      </c>
      <c r="R77" s="36" t="n">
        <f aca="false">IF(R71&lt;=0,0,(R74+R75+R76)/R71)</f>
        <v>0.66163916459756</v>
      </c>
      <c r="S77" s="36" t="n">
        <f aca="false">IF(S71&lt;=0,0,(S74+S75+S76)/S71)</f>
        <v>0.660499968590524</v>
      </c>
      <c r="T77" s="36" t="n">
        <f aca="false">IF(T71&lt;=0,0,(T74+T75+T76)/T71)</f>
        <v>0.658692200523067</v>
      </c>
      <c r="U77" s="36" t="n">
        <f aca="false">IF(U71&lt;=0,0,(U74+U75+U76)/U71)</f>
        <v>0.656492217702869</v>
      </c>
      <c r="V77" s="36" t="n">
        <f aca="false">IF(V71&lt;=0,0,(V74+V75+V76)/V71)</f>
        <v>0.654075093346266</v>
      </c>
      <c r="W77" s="36" t="n">
        <f aca="false">IF(W71&lt;=0,0,(W74+W75+W76)/W71)</f>
        <v>0.651552164921504</v>
      </c>
      <c r="X77" s="36" t="n">
        <f aca="false">IF(X71&lt;=0,0,(X74+X75+X76)/X71)</f>
        <v>0.649014333072058</v>
      </c>
      <c r="Y77" s="36" t="n">
        <f aca="false">IF(Y71&lt;=0,0,(Y74+Y75+Y76)/Y71)</f>
        <v>0.646501770683169</v>
      </c>
      <c r="Z77" s="36" t="n">
        <f aca="false">IF(Z71&lt;=0,0,(Z74+Z75+Z76)/Z71)</f>
        <v>0.659182854451417</v>
      </c>
      <c r="AA77" s="36" t="n">
        <f aca="false">IF(AA71&lt;=0,0,(AA74+AA75+AA76)/AA71)</f>
        <v>0.669794087160661</v>
      </c>
      <c r="AB77" s="36" t="n">
        <f aca="false">IF(AB71&lt;=0,0,(AB74+AB75+AB76)/AB71)</f>
        <v>0.67889305232228</v>
      </c>
      <c r="AC77" s="36" t="n">
        <f aca="false">IF(AC71&lt;=0,0,(AC74+AC75+AC76)/AC71)</f>
        <v>0.68673848437753</v>
      </c>
      <c r="AD77" s="36" t="n">
        <f aca="false">IF(AD71&lt;=0,0,(AD74+AD75+AD76)/AD71)</f>
        <v>0.693536601826178</v>
      </c>
      <c r="AE77" s="36" t="n">
        <f aca="false">IF(AE71&lt;=0,0,(AE74+AE75+AE76)/AE71)</f>
        <v>0.699449952099182</v>
      </c>
      <c r="AF77" s="36" t="n">
        <f aca="false">IF(AF71&lt;=0,0,(AF74+AF75+AF76)/AF71)</f>
        <v>0.704616235226046</v>
      </c>
      <c r="AG77" s="36" t="n">
        <f aca="false">IF(AG71&lt;=0,0,(AG74+AG75+AG76)/AG71)</f>
        <v>0.709142020646917</v>
      </c>
      <c r="AH77" s="36" t="n">
        <f aca="false">IF(AH71&lt;=0,0,(AH74+AH75+AH76)/AH71)</f>
        <v>0.713115050288745</v>
      </c>
      <c r="AI77" s="36" t="n">
        <f aca="false">IF(AI71&lt;=0,0,(AI74+AI75+AI76)/AI71)</f>
        <v>0.716608165472354</v>
      </c>
      <c r="AJ77" s="36" t="n">
        <f aca="false">IF(AJ71&lt;=0,0,(AJ74+AJ75+AJ76)/AJ71)</f>
        <v>0.719687661057285</v>
      </c>
      <c r="AK77" s="36" t="n">
        <f aca="false">IF(AK71&lt;=0,0,(AK74+AK75+AK76)/AK71)</f>
        <v>0.722404300910857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5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10" t="s">
        <v>200</v>
      </c>
      <c r="B4" s="10" t="s">
        <v>28</v>
      </c>
      <c r="C4" s="10" t="s">
        <v>29</v>
      </c>
      <c r="D4" s="10" t="s">
        <v>201</v>
      </c>
      <c r="E4" s="10" t="s">
        <v>202</v>
      </c>
    </row>
    <row r="5" customFormat="false" ht="15" hidden="false" customHeight="false" outlineLevel="0" collapsed="false">
      <c r="A5" s="34" t="s">
        <v>203</v>
      </c>
      <c r="B5" s="35"/>
      <c r="C5" s="35"/>
      <c r="D5" s="35"/>
      <c r="E5" s="35"/>
    </row>
    <row r="6" customFormat="false" ht="15" hidden="false" customHeight="false" outlineLevel="0" collapsed="false">
      <c r="A6" s="4" t="s">
        <v>204</v>
      </c>
      <c r="B6" s="14" t="n">
        <v>49</v>
      </c>
      <c r="C6" s="12" t="s">
        <v>31</v>
      </c>
      <c r="D6" s="2" t="s">
        <v>205</v>
      </c>
      <c r="E6" s="2" t="s">
        <v>206</v>
      </c>
    </row>
    <row r="7" customFormat="false" ht="15" hidden="false" customHeight="false" outlineLevel="0" collapsed="false">
      <c r="A7" s="4" t="s">
        <v>207</v>
      </c>
      <c r="B7" s="39" t="n">
        <v>7.99</v>
      </c>
      <c r="C7" s="12" t="s">
        <v>31</v>
      </c>
      <c r="D7" s="2" t="s">
        <v>208</v>
      </c>
      <c r="E7" s="2" t="s">
        <v>206</v>
      </c>
    </row>
    <row r="8" customFormat="false" ht="15" hidden="false" customHeight="false" outlineLevel="0" collapsed="false">
      <c r="A8" s="4" t="s">
        <v>209</v>
      </c>
      <c r="B8" s="14" t="n">
        <v>19</v>
      </c>
      <c r="C8" s="12" t="s">
        <v>33</v>
      </c>
      <c r="D8" s="2" t="s">
        <v>210</v>
      </c>
      <c r="E8" s="2" t="s">
        <v>211</v>
      </c>
    </row>
    <row r="9" customFormat="false" ht="15" hidden="false" customHeight="false" outlineLevel="0" collapsed="false">
      <c r="A9" s="4" t="s">
        <v>212</v>
      </c>
      <c r="B9" s="14" t="n">
        <v>49</v>
      </c>
      <c r="C9" s="12" t="s">
        <v>31</v>
      </c>
      <c r="D9" s="2" t="s">
        <v>213</v>
      </c>
      <c r="E9" s="2" t="s">
        <v>214</v>
      </c>
    </row>
    <row r="10" customFormat="false" ht="15" hidden="false" customHeight="false" outlineLevel="0" collapsed="false">
      <c r="A10" s="4" t="s">
        <v>215</v>
      </c>
      <c r="B10" s="14" t="n">
        <v>249</v>
      </c>
      <c r="C10" s="12" t="s">
        <v>31</v>
      </c>
      <c r="D10" s="2" t="s">
        <v>216</v>
      </c>
      <c r="E10" s="2" t="s">
        <v>217</v>
      </c>
    </row>
    <row r="11" customFormat="false" ht="15" hidden="false" customHeight="false" outlineLevel="0" collapsed="false">
      <c r="A11" s="34" t="s">
        <v>218</v>
      </c>
      <c r="B11" s="35"/>
      <c r="C11" s="35"/>
      <c r="D11" s="35"/>
      <c r="E11" s="35"/>
    </row>
    <row r="12" customFormat="false" ht="15" hidden="false" customHeight="false" outlineLevel="0" collapsed="false">
      <c r="A12" s="4" t="s">
        <v>219</v>
      </c>
      <c r="B12" s="40" t="n">
        <v>0.55</v>
      </c>
      <c r="C12" s="12" t="s">
        <v>33</v>
      </c>
      <c r="D12" s="2" t="s">
        <v>220</v>
      </c>
      <c r="E12" s="2" t="s">
        <v>221</v>
      </c>
    </row>
    <row r="13" customFormat="false" ht="15" hidden="false" customHeight="false" outlineLevel="0" collapsed="false">
      <c r="A13" s="4" t="s">
        <v>222</v>
      </c>
      <c r="B13" s="40" t="n">
        <v>0.12</v>
      </c>
      <c r="C13" s="12" t="s">
        <v>31</v>
      </c>
      <c r="D13" s="2" t="s">
        <v>223</v>
      </c>
      <c r="E13" s="2" t="s">
        <v>224</v>
      </c>
    </row>
    <row r="14" customFormat="false" ht="15" hidden="false" customHeight="false" outlineLevel="0" collapsed="false">
      <c r="A14" s="4" t="s">
        <v>225</v>
      </c>
      <c r="B14" s="40" t="n">
        <v>0.45</v>
      </c>
      <c r="C14" s="12" t="s">
        <v>31</v>
      </c>
      <c r="D14" s="2" t="s">
        <v>226</v>
      </c>
      <c r="E14" s="2" t="s">
        <v>224</v>
      </c>
    </row>
    <row r="15" customFormat="false" ht="15" hidden="false" customHeight="false" outlineLevel="0" collapsed="false">
      <c r="A15" s="4" t="s">
        <v>227</v>
      </c>
      <c r="B15" s="40" t="n">
        <v>0.2</v>
      </c>
      <c r="C15" s="12" t="s">
        <v>33</v>
      </c>
      <c r="D15" s="2" t="s">
        <v>228</v>
      </c>
      <c r="E15" s="2" t="s">
        <v>229</v>
      </c>
    </row>
    <row r="16" customFormat="false" ht="15" hidden="false" customHeight="false" outlineLevel="0" collapsed="false">
      <c r="A16" s="34" t="s">
        <v>230</v>
      </c>
      <c r="B16" s="35"/>
      <c r="C16" s="35"/>
      <c r="D16" s="35"/>
      <c r="E16" s="35"/>
    </row>
    <row r="17" customFormat="false" ht="15" hidden="false" customHeight="false" outlineLevel="0" collapsed="false">
      <c r="A17" s="4" t="s">
        <v>231</v>
      </c>
      <c r="B17" s="40" t="n">
        <v>0.035</v>
      </c>
      <c r="C17" s="12" t="s">
        <v>232</v>
      </c>
      <c r="D17" s="2" t="s">
        <v>233</v>
      </c>
      <c r="E17" s="2" t="s">
        <v>234</v>
      </c>
    </row>
    <row r="18" customFormat="false" ht="15" hidden="false" customHeight="false" outlineLevel="0" collapsed="false">
      <c r="A18" s="4" t="s">
        <v>235</v>
      </c>
      <c r="B18" s="40" t="n">
        <v>0.04</v>
      </c>
      <c r="C18" s="12" t="s">
        <v>232</v>
      </c>
      <c r="D18" s="2" t="s">
        <v>236</v>
      </c>
      <c r="E18" s="2" t="s">
        <v>234</v>
      </c>
    </row>
    <row r="19" customFormat="false" ht="15" hidden="false" customHeight="false" outlineLevel="0" collapsed="false">
      <c r="A19" s="4" t="s">
        <v>237</v>
      </c>
      <c r="B19" s="40" t="n">
        <v>0.035</v>
      </c>
      <c r="C19" s="12" t="s">
        <v>232</v>
      </c>
      <c r="D19" s="2" t="s">
        <v>238</v>
      </c>
      <c r="E19" s="2" t="s">
        <v>239</v>
      </c>
    </row>
    <row r="20" customFormat="false" ht="15" hidden="false" customHeight="false" outlineLevel="0" collapsed="false">
      <c r="A20" s="4" t="s">
        <v>240</v>
      </c>
      <c r="B20" s="40" t="n">
        <v>0.007</v>
      </c>
      <c r="C20" s="12" t="s">
        <v>232</v>
      </c>
      <c r="D20" s="2" t="s">
        <v>241</v>
      </c>
      <c r="E20" s="2" t="s">
        <v>234</v>
      </c>
    </row>
    <row r="21" customFormat="false" ht="15" hidden="false" customHeight="false" outlineLevel="0" collapsed="false">
      <c r="A21" s="4" t="s">
        <v>242</v>
      </c>
      <c r="B21" s="40" t="n">
        <v>0.007</v>
      </c>
      <c r="C21" s="12" t="s">
        <v>232</v>
      </c>
      <c r="D21" s="2" t="s">
        <v>243</v>
      </c>
      <c r="E21" s="2" t="s">
        <v>244</v>
      </c>
    </row>
    <row r="22" customFormat="false" ht="15" hidden="false" customHeight="false" outlineLevel="0" collapsed="false">
      <c r="A22" s="4" t="s">
        <v>245</v>
      </c>
      <c r="B22" s="40" t="n">
        <v>0.005</v>
      </c>
      <c r="C22" s="12" t="s">
        <v>232</v>
      </c>
      <c r="D22" s="2" t="s">
        <v>246</v>
      </c>
      <c r="E22" s="2" t="s">
        <v>244</v>
      </c>
    </row>
    <row r="23" customFormat="false" ht="15" hidden="false" customHeight="false" outlineLevel="0" collapsed="false">
      <c r="A23" s="4" t="s">
        <v>247</v>
      </c>
      <c r="B23" s="40" t="n">
        <v>0.005</v>
      </c>
      <c r="C23" s="12" t="s">
        <v>31</v>
      </c>
      <c r="D23" s="2" t="s">
        <v>248</v>
      </c>
      <c r="E23" s="2" t="s">
        <v>244</v>
      </c>
    </row>
    <row r="24" customFormat="false" ht="15" hidden="false" customHeight="false" outlineLevel="0" collapsed="false">
      <c r="A24" s="34" t="s">
        <v>249</v>
      </c>
      <c r="B24" s="35"/>
      <c r="C24" s="35"/>
      <c r="D24" s="35"/>
      <c r="E24" s="35"/>
    </row>
    <row r="25" customFormat="false" ht="15" hidden="false" customHeight="false" outlineLevel="0" collapsed="false">
      <c r="A25" s="4" t="s">
        <v>250</v>
      </c>
      <c r="B25" s="14" t="n">
        <v>20</v>
      </c>
      <c r="C25" s="12" t="s">
        <v>232</v>
      </c>
      <c r="D25" s="2" t="s">
        <v>251</v>
      </c>
      <c r="E25" s="2" t="s">
        <v>252</v>
      </c>
    </row>
    <row r="26" customFormat="false" ht="15" hidden="false" customHeight="false" outlineLevel="0" collapsed="false">
      <c r="A26" s="4" t="s">
        <v>253</v>
      </c>
      <c r="B26" s="14" t="n">
        <v>380</v>
      </c>
      <c r="C26" s="12" t="s">
        <v>31</v>
      </c>
      <c r="D26" s="2" t="s">
        <v>254</v>
      </c>
      <c r="E26" s="2" t="s">
        <v>255</v>
      </c>
    </row>
    <row r="27" customFormat="false" ht="15" hidden="false" customHeight="false" outlineLevel="0" collapsed="false">
      <c r="A27" s="4" t="s">
        <v>256</v>
      </c>
      <c r="B27" s="14" t="n">
        <v>60</v>
      </c>
      <c r="C27" s="12" t="s">
        <v>33</v>
      </c>
      <c r="D27" s="2" t="s">
        <v>257</v>
      </c>
      <c r="E27" s="2" t="s">
        <v>255</v>
      </c>
    </row>
    <row r="28" customFormat="false" ht="15" hidden="false" customHeight="false" outlineLevel="0" collapsed="false">
      <c r="A28" s="4" t="s">
        <v>258</v>
      </c>
      <c r="B28" s="14" t="n">
        <v>60</v>
      </c>
      <c r="C28" s="12" t="s">
        <v>33</v>
      </c>
      <c r="D28" s="2" t="s">
        <v>259</v>
      </c>
      <c r="E28" s="2" t="s">
        <v>234</v>
      </c>
    </row>
    <row r="29" customFormat="false" ht="15" hidden="false" customHeight="false" outlineLevel="0" collapsed="false">
      <c r="A29" s="4" t="s">
        <v>260</v>
      </c>
      <c r="B29" s="14" t="n">
        <v>60</v>
      </c>
      <c r="C29" s="12" t="s">
        <v>33</v>
      </c>
      <c r="D29" s="2" t="s">
        <v>261</v>
      </c>
      <c r="E29" s="2" t="s">
        <v>234</v>
      </c>
    </row>
    <row r="30" customFormat="false" ht="15" hidden="false" customHeight="false" outlineLevel="0" collapsed="false">
      <c r="A30" s="4" t="s">
        <v>262</v>
      </c>
      <c r="B30" s="14" t="n">
        <v>10</v>
      </c>
      <c r="C30" s="12" t="s">
        <v>33</v>
      </c>
      <c r="D30" s="2" t="s">
        <v>261</v>
      </c>
      <c r="E30" s="2" t="s">
        <v>234</v>
      </c>
    </row>
    <row r="31" customFormat="false" ht="15" hidden="false" customHeight="false" outlineLevel="0" collapsed="false">
      <c r="A31" s="4" t="s">
        <v>263</v>
      </c>
      <c r="B31" s="41" t="n">
        <v>8</v>
      </c>
      <c r="C31" s="12" t="s">
        <v>33</v>
      </c>
      <c r="D31" s="2" t="s">
        <v>261</v>
      </c>
      <c r="E31" s="2" t="s">
        <v>234</v>
      </c>
    </row>
    <row r="32" customFormat="false" ht="15" hidden="false" customHeight="false" outlineLevel="0" collapsed="false">
      <c r="A32" s="4" t="s">
        <v>264</v>
      </c>
      <c r="B32" s="14" t="n">
        <v>20</v>
      </c>
      <c r="C32" s="12" t="s">
        <v>33</v>
      </c>
      <c r="D32" s="2" t="s">
        <v>261</v>
      </c>
      <c r="E32" s="2" t="s">
        <v>244</v>
      </c>
    </row>
    <row r="33" customFormat="false" ht="15" hidden="false" customHeight="false" outlineLevel="0" collapsed="false">
      <c r="A33" s="4" t="s">
        <v>265</v>
      </c>
      <c r="B33" s="14" t="n">
        <v>10</v>
      </c>
      <c r="C33" s="12" t="s">
        <v>33</v>
      </c>
      <c r="D33" s="2" t="s">
        <v>261</v>
      </c>
      <c r="E33" s="2" t="s">
        <v>244</v>
      </c>
    </row>
    <row r="34" customFormat="false" ht="15" hidden="false" customHeight="false" outlineLevel="0" collapsed="false">
      <c r="A34" s="4" t="s">
        <v>266</v>
      </c>
      <c r="B34" s="41" t="n">
        <v>6</v>
      </c>
      <c r="C34" s="12" t="s">
        <v>33</v>
      </c>
      <c r="D34" s="2" t="s">
        <v>261</v>
      </c>
      <c r="E34" s="2" t="s">
        <v>244</v>
      </c>
    </row>
    <row r="35" customFormat="false" ht="15" hidden="false" customHeight="false" outlineLevel="0" collapsed="false">
      <c r="A35" s="4" t="s">
        <v>267</v>
      </c>
      <c r="B35" s="41" t="n">
        <v>6</v>
      </c>
      <c r="C35" s="12" t="s">
        <v>33</v>
      </c>
      <c r="D35" s="2" t="s">
        <v>268</v>
      </c>
      <c r="E35" s="2" t="s">
        <v>234</v>
      </c>
    </row>
    <row r="36" customFormat="false" ht="15" hidden="false" customHeight="false" outlineLevel="0" collapsed="false">
      <c r="A36" s="4" t="s">
        <v>269</v>
      </c>
      <c r="B36" s="40" t="n">
        <v>0.3</v>
      </c>
      <c r="C36" s="12" t="s">
        <v>33</v>
      </c>
      <c r="D36" s="2" t="s">
        <v>270</v>
      </c>
      <c r="E36" s="2" t="s">
        <v>271</v>
      </c>
    </row>
    <row r="37" customFormat="false" ht="15" hidden="false" customHeight="false" outlineLevel="0" collapsed="false">
      <c r="A37" s="4" t="s">
        <v>272</v>
      </c>
      <c r="B37" s="39" t="n">
        <v>1</v>
      </c>
      <c r="C37" s="12" t="s">
        <v>33</v>
      </c>
      <c r="D37" s="2" t="s">
        <v>273</v>
      </c>
      <c r="E37" s="2" t="s">
        <v>271</v>
      </c>
    </row>
    <row r="38" customFormat="false" ht="15" hidden="false" customHeight="false" outlineLevel="0" collapsed="false">
      <c r="A38" s="4" t="s">
        <v>274</v>
      </c>
      <c r="B38" s="39" t="n">
        <v>2</v>
      </c>
      <c r="C38" s="12" t="s">
        <v>33</v>
      </c>
      <c r="D38" s="2" t="s">
        <v>275</v>
      </c>
      <c r="E38" s="2" t="s">
        <v>271</v>
      </c>
    </row>
    <row r="39" customFormat="false" ht="15" hidden="false" customHeight="false" outlineLevel="0" collapsed="false">
      <c r="A39" s="4" t="s">
        <v>276</v>
      </c>
      <c r="B39" s="41" t="n">
        <v>5</v>
      </c>
      <c r="C39" s="12" t="s">
        <v>31</v>
      </c>
      <c r="D39" s="2" t="s">
        <v>277</v>
      </c>
      <c r="E39" s="2" t="s">
        <v>278</v>
      </c>
    </row>
    <row r="40" customFormat="false" ht="15" hidden="false" customHeight="false" outlineLevel="0" collapsed="false">
      <c r="A40" s="4" t="s">
        <v>279</v>
      </c>
      <c r="B40" s="14" t="n">
        <v>35</v>
      </c>
      <c r="C40" s="12" t="s">
        <v>31</v>
      </c>
      <c r="D40" s="2" t="s">
        <v>280</v>
      </c>
      <c r="E40" s="2" t="s">
        <v>281</v>
      </c>
    </row>
    <row r="41" customFormat="false" ht="15" hidden="false" customHeight="false" outlineLevel="0" collapsed="false">
      <c r="A41" s="4" t="s">
        <v>282</v>
      </c>
      <c r="B41" s="39" t="n">
        <v>1.5</v>
      </c>
      <c r="C41" s="12" t="s">
        <v>31</v>
      </c>
      <c r="D41" s="2" t="s">
        <v>283</v>
      </c>
      <c r="E41" s="2" t="s">
        <v>281</v>
      </c>
    </row>
    <row r="42" customFormat="false" ht="15" hidden="false" customHeight="false" outlineLevel="0" collapsed="false">
      <c r="A42" s="4" t="s">
        <v>284</v>
      </c>
      <c r="B42" s="33" t="n">
        <v>15</v>
      </c>
      <c r="C42" s="12" t="s">
        <v>33</v>
      </c>
      <c r="D42" s="2" t="s">
        <v>285</v>
      </c>
      <c r="E42" s="2" t="s">
        <v>281</v>
      </c>
    </row>
    <row r="43" customFormat="false" ht="15" hidden="false" customHeight="false" outlineLevel="0" collapsed="false">
      <c r="A43" s="34" t="s">
        <v>286</v>
      </c>
      <c r="B43" s="35"/>
      <c r="C43" s="35"/>
      <c r="D43" s="35"/>
      <c r="E43" s="35"/>
    </row>
    <row r="44" customFormat="false" ht="15" hidden="false" customHeight="false" outlineLevel="0" collapsed="false">
      <c r="A44" s="4" t="s">
        <v>287</v>
      </c>
      <c r="B44" s="40" t="n">
        <v>0.029</v>
      </c>
      <c r="C44" s="12" t="s">
        <v>232</v>
      </c>
      <c r="D44" s="2" t="s">
        <v>288</v>
      </c>
      <c r="E44" s="2" t="s">
        <v>289</v>
      </c>
    </row>
    <row r="45" customFormat="false" ht="15" hidden="false" customHeight="false" outlineLevel="0" collapsed="false">
      <c r="A45" s="4" t="s">
        <v>290</v>
      </c>
      <c r="B45" s="40" t="n">
        <v>0.3</v>
      </c>
      <c r="C45" s="12" t="s">
        <v>232</v>
      </c>
      <c r="D45" s="2" t="s">
        <v>288</v>
      </c>
      <c r="E45" s="2" t="s">
        <v>289</v>
      </c>
    </row>
    <row r="46" customFormat="false" ht="15" hidden="false" customHeight="false" outlineLevel="0" collapsed="false">
      <c r="A46" s="4" t="s">
        <v>291</v>
      </c>
      <c r="B46" s="14" t="n">
        <v>25000</v>
      </c>
      <c r="C46" s="12" t="s">
        <v>33</v>
      </c>
      <c r="D46" s="2" t="s">
        <v>292</v>
      </c>
      <c r="E46" s="2" t="s">
        <v>110</v>
      </c>
    </row>
    <row r="47" customFormat="false" ht="15" hidden="false" customHeight="false" outlineLevel="0" collapsed="false">
      <c r="A47" s="4" t="s">
        <v>293</v>
      </c>
      <c r="B47" s="14" t="n">
        <v>3850</v>
      </c>
      <c r="C47" s="12" t="s">
        <v>33</v>
      </c>
      <c r="D47" s="2" t="s">
        <v>294</v>
      </c>
      <c r="E47" s="2" t="s">
        <v>295</v>
      </c>
    </row>
    <row r="48" customFormat="false" ht="15" hidden="false" customHeight="false" outlineLevel="0" collapsed="false">
      <c r="A48" s="4" t="s">
        <v>296</v>
      </c>
      <c r="B48" s="14" t="n">
        <v>26000</v>
      </c>
      <c r="C48" s="12" t="s">
        <v>31</v>
      </c>
      <c r="D48" s="2" t="s">
        <v>297</v>
      </c>
      <c r="E48" s="2" t="s">
        <v>298</v>
      </c>
    </row>
    <row r="49" customFormat="false" ht="15" hidden="false" customHeight="false" outlineLevel="0" collapsed="false">
      <c r="A49" s="4" t="s">
        <v>47</v>
      </c>
      <c r="B49" s="42" t="n">
        <v>3.2</v>
      </c>
      <c r="C49" s="12" t="s">
        <v>31</v>
      </c>
      <c r="D49" s="2" t="s">
        <v>299</v>
      </c>
      <c r="E49" s="2" t="s">
        <v>300</v>
      </c>
    </row>
    <row r="50" customFormat="false" ht="15" hidden="false" customHeight="false" outlineLevel="0" collapsed="false">
      <c r="A50" s="34" t="s">
        <v>301</v>
      </c>
      <c r="B50" s="35"/>
      <c r="C50" s="35"/>
      <c r="D50" s="35"/>
      <c r="E50" s="35"/>
    </row>
    <row r="51" customFormat="false" ht="15" hidden="false" customHeight="false" outlineLevel="0" collapsed="false">
      <c r="A51" s="4" t="s">
        <v>302</v>
      </c>
      <c r="B51" s="40" t="n">
        <v>0.2</v>
      </c>
      <c r="C51" s="12" t="s">
        <v>33</v>
      </c>
      <c r="D51" s="2" t="s">
        <v>303</v>
      </c>
      <c r="E51" s="2" t="s">
        <v>304</v>
      </c>
    </row>
    <row r="52" customFormat="false" ht="15" hidden="false" customHeight="false" outlineLevel="0" collapsed="false">
      <c r="A52" s="4" t="s">
        <v>305</v>
      </c>
      <c r="B52" s="40" t="n">
        <v>0.12</v>
      </c>
      <c r="C52" s="12" t="s">
        <v>33</v>
      </c>
      <c r="D52" s="2" t="s">
        <v>306</v>
      </c>
      <c r="E52" s="2" t="s">
        <v>304</v>
      </c>
    </row>
    <row r="54" customFormat="false" ht="15" hidden="false" customHeight="false" outlineLevel="0" collapsed="false">
      <c r="A54" s="34" t="s">
        <v>307</v>
      </c>
      <c r="B54" s="35"/>
      <c r="C54" s="35"/>
      <c r="D54" s="35"/>
      <c r="E54" s="35"/>
    </row>
    <row r="55" customFormat="false" ht="15" hidden="false" customHeight="false" outlineLevel="0" collapsed="false">
      <c r="A55" s="9"/>
      <c r="B55" s="9" t="s">
        <v>65</v>
      </c>
      <c r="C55" s="9" t="s">
        <v>66</v>
      </c>
      <c r="D55" s="9" t="s">
        <v>67</v>
      </c>
    </row>
    <row r="56" customFormat="false" ht="15" hidden="false" customHeight="false" outlineLevel="0" collapsed="false">
      <c r="A56" s="4" t="s">
        <v>308</v>
      </c>
      <c r="B56" s="40" t="n">
        <v>0.04</v>
      </c>
      <c r="C56" s="40" t="n">
        <v>0.05</v>
      </c>
      <c r="D56" s="40" t="n">
        <v>0.06</v>
      </c>
      <c r="E56" s="2" t="s">
        <v>309</v>
      </c>
    </row>
    <row r="57" customFormat="false" ht="15" hidden="false" customHeight="false" outlineLevel="0" collapsed="false">
      <c r="A57" s="4" t="s">
        <v>310</v>
      </c>
      <c r="B57" s="40" t="n">
        <v>0.5</v>
      </c>
      <c r="C57" s="40" t="n">
        <v>0.6</v>
      </c>
      <c r="D57" s="40" t="n">
        <v>0.65</v>
      </c>
      <c r="E57" s="2" t="s">
        <v>311</v>
      </c>
    </row>
    <row r="58" customFormat="false" ht="15" hidden="false" customHeight="false" outlineLevel="0" collapsed="false">
      <c r="A58" s="4" t="s">
        <v>161</v>
      </c>
      <c r="B58" s="39" t="n">
        <v>1.5</v>
      </c>
      <c r="C58" s="39" t="n">
        <v>3</v>
      </c>
      <c r="D58" s="39" t="n">
        <v>4</v>
      </c>
      <c r="E58" s="2" t="s">
        <v>312</v>
      </c>
    </row>
    <row r="59" customFormat="false" ht="15" hidden="false" customHeight="false" outlineLevel="0" collapsed="false">
      <c r="A59" s="4" t="s">
        <v>162</v>
      </c>
      <c r="B59" s="40" t="n">
        <v>0.05</v>
      </c>
      <c r="C59" s="40" t="n">
        <v>0.05</v>
      </c>
      <c r="D59" s="40" t="n">
        <v>0.03</v>
      </c>
      <c r="E59" s="2" t="s">
        <v>313</v>
      </c>
    </row>
    <row r="60" customFormat="false" ht="15" hidden="false" customHeight="false" outlineLevel="0" collapsed="false">
      <c r="A60" s="4" t="s">
        <v>314</v>
      </c>
      <c r="B60" s="39" t="n">
        <v>12</v>
      </c>
      <c r="C60" s="39" t="n">
        <v>45</v>
      </c>
      <c r="D60" s="39" t="n">
        <v>100</v>
      </c>
      <c r="E60" s="2" t="s">
        <v>315</v>
      </c>
    </row>
    <row r="62" customFormat="false" ht="15" hidden="false" customHeight="false" outlineLevel="0" collapsed="false">
      <c r="A62" s="19" t="s">
        <v>316</v>
      </c>
      <c r="B62" s="20"/>
      <c r="C62" s="20"/>
      <c r="D62" s="20"/>
      <c r="E62" s="20"/>
    </row>
    <row r="63" customFormat="false" ht="15" hidden="false" customHeight="false" outlineLevel="0" collapsed="false">
      <c r="A63" s="4" t="s">
        <v>56</v>
      </c>
      <c r="B63" s="43" t="n">
        <v>1</v>
      </c>
      <c r="E63" s="2" t="s">
        <v>317</v>
      </c>
    </row>
    <row r="64" customFormat="false" ht="15" hidden="false" customHeight="false" outlineLevel="0" collapsed="false">
      <c r="A64" s="4" t="s">
        <v>57</v>
      </c>
      <c r="B64" s="43" t="n">
        <v>1</v>
      </c>
      <c r="E64" s="2" t="s">
        <v>317</v>
      </c>
    </row>
    <row r="65" customFormat="false" ht="15" hidden="false" customHeight="false" outlineLevel="0" collapsed="false">
      <c r="A65" s="4" t="s">
        <v>58</v>
      </c>
      <c r="B65" s="43" t="n">
        <v>1</v>
      </c>
      <c r="E65" s="2" t="s">
        <v>317</v>
      </c>
    </row>
    <row r="66" customFormat="false" ht="15" hidden="false" customHeight="false" outlineLevel="0" collapsed="false">
      <c r="A66" s="4" t="s">
        <v>59</v>
      </c>
      <c r="B66" s="43" t="n">
        <v>1</v>
      </c>
      <c r="E66" s="2" t="s">
        <v>317</v>
      </c>
    </row>
    <row r="67" customFormat="false" ht="15" hidden="false" customHeight="false" outlineLevel="0" collapsed="false">
      <c r="A67" s="4" t="s">
        <v>60</v>
      </c>
      <c r="B67" s="43" t="n">
        <v>1</v>
      </c>
      <c r="E67" s="2" t="s">
        <v>317</v>
      </c>
    </row>
    <row r="68" customFormat="false" ht="15" hidden="false" customHeight="false" outlineLevel="0" collapsed="false">
      <c r="A68" s="4" t="s">
        <v>61</v>
      </c>
      <c r="B68" s="43" t="n">
        <v>1</v>
      </c>
      <c r="E68" s="2" t="s">
        <v>317</v>
      </c>
    </row>
    <row r="69" customFormat="false" ht="15" hidden="false" customHeight="false" outlineLevel="0" collapsed="false">
      <c r="A69" s="4" t="s">
        <v>62</v>
      </c>
      <c r="B69" s="43" t="n">
        <v>1</v>
      </c>
      <c r="E69" s="2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2026-09-22T21:05:37Z</dcterms:created>
  <dc:creator>openpyxl</dc:creator>
  <dc:description/>
  <dc:language>en-US</dc:language>
  <cp:lastModifiedBy/>
  <dcterms:modified xsi:type="dcterms:W3CDTF">2026-09-22T21:07:30Z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